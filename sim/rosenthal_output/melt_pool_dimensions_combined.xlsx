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1573_data_processing\sim\rosenthal_output\"/>
    </mc:Choice>
  </mc:AlternateContent>
  <xr:revisionPtr revIDLastSave="0" documentId="13_ncr:1_{0147A8D1-8262-482B-85A5-FDE2509E2E33}" xr6:coauthVersionLast="47" xr6:coauthVersionMax="47" xr10:uidLastSave="{00000000-0000-0000-0000-000000000000}"/>
  <bookViews>
    <workbookView xWindow="14295" yWindow="0" windowWidth="14610" windowHeight="15585" firstSheet="3" activeTab="4" xr2:uid="{7CB7725D-D4DD-4D26-A040-A2E7AEF55077}"/>
  </bookViews>
  <sheets>
    <sheet name="250W" sheetId="5" r:id="rId1"/>
    <sheet name="300W" sheetId="1" r:id="rId2"/>
    <sheet name="400W" sheetId="2" r:id="rId3"/>
    <sheet name="500W" sheetId="3" r:id="rId4"/>
    <sheet name="combined resul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" i="3"/>
  <c r="I3" i="5"/>
  <c r="I4" i="5"/>
  <c r="I5" i="5"/>
  <c r="I6" i="5"/>
  <c r="H3" i="5"/>
  <c r="H4" i="5"/>
  <c r="H5" i="5"/>
  <c r="H6" i="5"/>
  <c r="H7" i="5"/>
  <c r="I7" i="5" s="1"/>
  <c r="H8" i="5"/>
  <c r="I8" i="5" s="1"/>
  <c r="H9" i="5"/>
  <c r="I9" i="5" s="1"/>
  <c r="H10" i="5"/>
  <c r="I10" i="5" s="1"/>
  <c r="H11" i="5"/>
  <c r="I11" i="5" s="1"/>
  <c r="H12" i="5"/>
  <c r="I12" i="5" s="1"/>
  <c r="H13" i="5"/>
  <c r="I13" i="5" s="1"/>
  <c r="H14" i="5"/>
  <c r="I14" i="5" s="1"/>
  <c r="H15" i="5"/>
  <c r="I15" i="5" s="1"/>
  <c r="H16" i="5"/>
  <c r="I16" i="5" s="1"/>
  <c r="H17" i="5"/>
  <c r="I17" i="5" s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H18" i="5" s="1"/>
  <c r="I18" i="5" s="1"/>
  <c r="G19" i="5"/>
  <c r="H19" i="5" s="1"/>
  <c r="I19" i="5" s="1"/>
  <c r="G20" i="5"/>
  <c r="H20" i="5" s="1"/>
  <c r="I20" i="5" s="1"/>
  <c r="G21" i="5"/>
  <c r="H21" i="5" s="1"/>
  <c r="I21" i="5" s="1"/>
  <c r="G22" i="5"/>
  <c r="H22" i="5" s="1"/>
  <c r="I22" i="5" s="1"/>
  <c r="G2" i="5"/>
  <c r="H2" i="5" s="1"/>
  <c r="I2" i="5" s="1"/>
  <c r="J2" i="4"/>
  <c r="J3" i="4"/>
  <c r="E3" i="4"/>
  <c r="E4" i="4"/>
  <c r="E5" i="4"/>
  <c r="E6" i="4"/>
  <c r="E7" i="4"/>
  <c r="E8" i="4"/>
  <c r="E2" i="4"/>
  <c r="B4" i="4"/>
  <c r="B3" i="4"/>
  <c r="B2" i="4"/>
  <c r="G22" i="3"/>
  <c r="H22" i="3" s="1"/>
  <c r="I22" i="3" s="1"/>
  <c r="G21" i="3"/>
  <c r="H21" i="3" s="1"/>
  <c r="I21" i="3" s="1"/>
  <c r="G20" i="3"/>
  <c r="H20" i="3" s="1"/>
  <c r="I20" i="3" s="1"/>
  <c r="G19" i="3"/>
  <c r="H19" i="3" s="1"/>
  <c r="I19" i="3" s="1"/>
  <c r="G18" i="3"/>
  <c r="H18" i="3" s="1"/>
  <c r="I18" i="3" s="1"/>
  <c r="G17" i="3"/>
  <c r="H17" i="3" s="1"/>
  <c r="I17" i="3" s="1"/>
  <c r="G16" i="3"/>
  <c r="H16" i="3" s="1"/>
  <c r="I16" i="3" s="1"/>
  <c r="G15" i="3"/>
  <c r="H15" i="3" s="1"/>
  <c r="I15" i="3" s="1"/>
  <c r="G14" i="3"/>
  <c r="H14" i="3" s="1"/>
  <c r="I14" i="3" s="1"/>
  <c r="G13" i="3"/>
  <c r="H13" i="3" s="1"/>
  <c r="I13" i="3" s="1"/>
  <c r="G12" i="3"/>
  <c r="H12" i="3" s="1"/>
  <c r="I12" i="3" s="1"/>
  <c r="G11" i="3"/>
  <c r="H11" i="3" s="1"/>
  <c r="I11" i="3" s="1"/>
  <c r="G10" i="3"/>
  <c r="H10" i="3" s="1"/>
  <c r="I10" i="3" s="1"/>
  <c r="G9" i="3"/>
  <c r="H9" i="3" s="1"/>
  <c r="I9" i="3" s="1"/>
  <c r="G8" i="3"/>
  <c r="H8" i="3" s="1"/>
  <c r="I8" i="3" s="1"/>
  <c r="G7" i="3"/>
  <c r="H7" i="3" s="1"/>
  <c r="I7" i="3" s="1"/>
  <c r="G6" i="3"/>
  <c r="H6" i="3" s="1"/>
  <c r="I6" i="3" s="1"/>
  <c r="G5" i="3"/>
  <c r="H5" i="3" s="1"/>
  <c r="I5" i="3" s="1"/>
  <c r="G4" i="3"/>
  <c r="H4" i="3" s="1"/>
  <c r="I4" i="3" s="1"/>
  <c r="G3" i="3"/>
  <c r="H3" i="3" s="1"/>
  <c r="I3" i="3" s="1"/>
  <c r="G2" i="3"/>
  <c r="H2" i="3" s="1"/>
  <c r="I2" i="3" s="1"/>
  <c r="G22" i="2"/>
  <c r="H22" i="2" s="1"/>
  <c r="I22" i="2" s="1"/>
  <c r="G21" i="2"/>
  <c r="H21" i="2" s="1"/>
  <c r="I21" i="2" s="1"/>
  <c r="G20" i="2"/>
  <c r="H20" i="2" s="1"/>
  <c r="I20" i="2" s="1"/>
  <c r="G19" i="2"/>
  <c r="H19" i="2" s="1"/>
  <c r="I19" i="2" s="1"/>
  <c r="G18" i="2"/>
  <c r="H18" i="2" s="1"/>
  <c r="I18" i="2" s="1"/>
  <c r="G17" i="2"/>
  <c r="H17" i="2" s="1"/>
  <c r="I17" i="2" s="1"/>
  <c r="G16" i="2"/>
  <c r="H16" i="2" s="1"/>
  <c r="I16" i="2" s="1"/>
  <c r="G15" i="2"/>
  <c r="H15" i="2" s="1"/>
  <c r="I15" i="2" s="1"/>
  <c r="G14" i="2"/>
  <c r="H14" i="2" s="1"/>
  <c r="I14" i="2" s="1"/>
  <c r="G13" i="2"/>
  <c r="H13" i="2" s="1"/>
  <c r="I13" i="2" s="1"/>
  <c r="G12" i="2"/>
  <c r="H12" i="2" s="1"/>
  <c r="I12" i="2" s="1"/>
  <c r="G11" i="2"/>
  <c r="H11" i="2" s="1"/>
  <c r="I11" i="2" s="1"/>
  <c r="G10" i="2"/>
  <c r="H10" i="2" s="1"/>
  <c r="I10" i="2" s="1"/>
  <c r="G9" i="2"/>
  <c r="H9" i="2" s="1"/>
  <c r="I9" i="2" s="1"/>
  <c r="G8" i="2"/>
  <c r="H8" i="2" s="1"/>
  <c r="I8" i="2" s="1"/>
  <c r="G7" i="2"/>
  <c r="H7" i="2" s="1"/>
  <c r="I7" i="2" s="1"/>
  <c r="G6" i="2"/>
  <c r="H6" i="2" s="1"/>
  <c r="I6" i="2" s="1"/>
  <c r="G5" i="2"/>
  <c r="H5" i="2" s="1"/>
  <c r="I5" i="2" s="1"/>
  <c r="G4" i="2"/>
  <c r="H4" i="2" s="1"/>
  <c r="I4" i="2" s="1"/>
  <c r="G3" i="2"/>
  <c r="H3" i="2" s="1"/>
  <c r="I3" i="2" s="1"/>
  <c r="G2" i="2"/>
  <c r="H2" i="2" s="1"/>
  <c r="I2" i="2" s="1"/>
  <c r="I11" i="1"/>
  <c r="I12" i="1"/>
  <c r="I13" i="1"/>
  <c r="I14" i="1"/>
  <c r="I15" i="1"/>
  <c r="I16" i="1"/>
  <c r="I17" i="1"/>
  <c r="I18" i="1"/>
  <c r="H11" i="1"/>
  <c r="H12" i="1"/>
  <c r="H13" i="1"/>
  <c r="H14" i="1"/>
  <c r="H15" i="1"/>
  <c r="H16" i="1"/>
  <c r="H17" i="1"/>
  <c r="H18" i="1"/>
  <c r="H19" i="1"/>
  <c r="I19" i="1" s="1"/>
  <c r="H20" i="1"/>
  <c r="I20" i="1" s="1"/>
  <c r="H21" i="1"/>
  <c r="I21" i="1" s="1"/>
  <c r="H22" i="1"/>
  <c r="I22" i="1" s="1"/>
  <c r="H2" i="1"/>
  <c r="I2" i="1" s="1"/>
  <c r="G3" i="1"/>
  <c r="H3" i="1" s="1"/>
  <c r="I3" i="1" s="1"/>
  <c r="G4" i="1"/>
  <c r="H4" i="1" s="1"/>
  <c r="I4" i="1" s="1"/>
  <c r="G5" i="1"/>
  <c r="H5" i="1" s="1"/>
  <c r="I5" i="1" s="1"/>
  <c r="G6" i="1"/>
  <c r="H6" i="1" s="1"/>
  <c r="I6" i="1" s="1"/>
  <c r="G7" i="1"/>
  <c r="H7" i="1" s="1"/>
  <c r="I7" i="1" s="1"/>
  <c r="G8" i="1"/>
  <c r="H8" i="1" s="1"/>
  <c r="I8" i="1" s="1"/>
  <c r="G9" i="1"/>
  <c r="H9" i="1" s="1"/>
  <c r="I9" i="1" s="1"/>
  <c r="G10" i="1"/>
  <c r="H10" i="1" s="1"/>
  <c r="I10" i="1" s="1"/>
  <c r="G11" i="1"/>
  <c r="G12" i="1"/>
  <c r="G13" i="1"/>
  <c r="G14" i="1"/>
  <c r="G15" i="1"/>
  <c r="G16" i="1"/>
  <c r="G17" i="1"/>
  <c r="G18" i="1"/>
  <c r="G19" i="1"/>
  <c r="G20" i="1"/>
  <c r="G21" i="1"/>
  <c r="G22" i="1"/>
  <c r="G2" i="1"/>
  <c r="I23" i="1" l="1"/>
  <c r="I23" i="3"/>
  <c r="I23" i="2"/>
</calcChain>
</file>

<file path=xl/sharedStrings.xml><?xml version="1.0" encoding="utf-8"?>
<sst xmlns="http://schemas.openxmlformats.org/spreadsheetml/2006/main" count="30" uniqueCount="11">
  <si>
    <t>scan_speed_m_s</t>
  </si>
  <si>
    <t>length_mm</t>
  </si>
  <si>
    <t>length_ahead_mm</t>
  </si>
  <si>
    <t>length_behind_mm</t>
  </si>
  <si>
    <t>width_mm</t>
  </si>
  <si>
    <t>depth_mm</t>
  </si>
  <si>
    <t>P</t>
  </si>
  <si>
    <t>Power</t>
  </si>
  <si>
    <t>coeff</t>
  </si>
  <si>
    <t>v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</si>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</sst>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'400W'!$B$1</c:f>
              <c:strCache>
                <c:ptCount val="1"/>
                <c:pt idx="0">
                  <c:v>length_mm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'400W'!$A$2:$A$23</c:f>
              <c:numCache>
                <c:formatCode>General</c:formatCode>
                <c:ptCount val="2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</c:numCache>
            </c:numRef>
          </c:xVal>
          <c:yVal>
            <c:numRef>
              <c:f>'400W'!$B$2:$B$23</c:f>
              <c:numCache>
                <c:formatCode>General</c:formatCode>
                <c:ptCount val="22"/>
                <c:pt idx="0">
                  <c:v>0.325814536340852</c:v>
                </c:pt>
                <c:pt idx="1">
                  <c:v>0.28571428571428498</c:v>
                </c:pt>
                <c:pt idx="2">
                  <c:v>0.26566416040100199</c:v>
                </c:pt>
                <c:pt idx="3">
                  <c:v>0.255639097744361</c:v>
                </c:pt>
                <c:pt idx="4">
                  <c:v>0.24561403508771901</c:v>
                </c:pt>
                <c:pt idx="5">
                  <c:v>0.23558897243107699</c:v>
                </c:pt>
                <c:pt idx="6">
                  <c:v>0.23057644110275599</c:v>
                </c:pt>
                <c:pt idx="7">
                  <c:v>0.22556390977443599</c:v>
                </c:pt>
                <c:pt idx="8">
                  <c:v>0.220551378446115</c:v>
                </c:pt>
                <c:pt idx="9">
                  <c:v>0.215538847117794</c:v>
                </c:pt>
                <c:pt idx="10">
                  <c:v>0.215538847117794</c:v>
                </c:pt>
                <c:pt idx="11">
                  <c:v>0.21052631578947301</c:v>
                </c:pt>
                <c:pt idx="12">
                  <c:v>0.21052631578947301</c:v>
                </c:pt>
                <c:pt idx="13">
                  <c:v>0.20551378446115201</c:v>
                </c:pt>
                <c:pt idx="14">
                  <c:v>0.20551378446115201</c:v>
                </c:pt>
                <c:pt idx="15">
                  <c:v>0.20551378446115201</c:v>
                </c:pt>
                <c:pt idx="16">
                  <c:v>0.20050125313283201</c:v>
                </c:pt>
                <c:pt idx="17">
                  <c:v>0.20050125313283201</c:v>
                </c:pt>
                <c:pt idx="18">
                  <c:v>0.20050125313283201</c:v>
                </c:pt>
                <c:pt idx="19">
                  <c:v>0.19548872180451099</c:v>
                </c:pt>
                <c:pt idx="20">
                  <c:v>0.19548872180451099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A0-42BF-9C77-F2F34D9B9189}"/>
            </c:ext>
          </c:extLst>
        </c:ser>
        <c:ser>
          <c:idx val="3"/>
          <c:order val="1"/>
          <c:tx>
            <c:strRef>
              <c:f>'400W'!$E$1</c:f>
              <c:strCache>
                <c:ptCount val="1"/>
                <c:pt idx="0">
                  <c:v>width_mm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'400W'!$A$2:$A$23</c:f>
              <c:numCache>
                <c:formatCode>General</c:formatCode>
                <c:ptCount val="2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</c:numCache>
            </c:numRef>
          </c:xVal>
          <c:yVal>
            <c:numRef>
              <c:f>'400W'!$E$2:$E$23</c:f>
              <c:numCache>
                <c:formatCode>General</c:formatCode>
                <c:ptCount val="22"/>
                <c:pt idx="0">
                  <c:v>0.325814536340852</c:v>
                </c:pt>
                <c:pt idx="1">
                  <c:v>0.28571428571428498</c:v>
                </c:pt>
                <c:pt idx="2">
                  <c:v>0.255639097744361</c:v>
                </c:pt>
                <c:pt idx="3">
                  <c:v>0.23558897243107699</c:v>
                </c:pt>
                <c:pt idx="4">
                  <c:v>0.22556390977443599</c:v>
                </c:pt>
                <c:pt idx="5">
                  <c:v>0.20551378446115201</c:v>
                </c:pt>
                <c:pt idx="6">
                  <c:v>0.19548872180451099</c:v>
                </c:pt>
                <c:pt idx="7">
                  <c:v>0.185463659147869</c:v>
                </c:pt>
                <c:pt idx="8">
                  <c:v>0.185463659147869</c:v>
                </c:pt>
                <c:pt idx="9">
                  <c:v>0.175438596491228</c:v>
                </c:pt>
                <c:pt idx="10">
                  <c:v>0.16541353383458601</c:v>
                </c:pt>
                <c:pt idx="11">
                  <c:v>0.16541353383458601</c:v>
                </c:pt>
                <c:pt idx="12">
                  <c:v>0.15538847117794399</c:v>
                </c:pt>
                <c:pt idx="13">
                  <c:v>0.15538847117794399</c:v>
                </c:pt>
                <c:pt idx="14">
                  <c:v>0.145363408521303</c:v>
                </c:pt>
                <c:pt idx="15">
                  <c:v>0.145363408521303</c:v>
                </c:pt>
                <c:pt idx="16">
                  <c:v>0.145363408521303</c:v>
                </c:pt>
                <c:pt idx="17">
                  <c:v>0.13533834586466101</c:v>
                </c:pt>
                <c:pt idx="18">
                  <c:v>0.13533834586466101</c:v>
                </c:pt>
                <c:pt idx="19">
                  <c:v>0.13533834586466101</c:v>
                </c:pt>
                <c:pt idx="20">
                  <c:v>0.12531328320801999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A0-42BF-9C77-F2F34D9B9189}"/>
            </c:ext>
          </c:extLst>
        </c:ser>
        <c:ser>
          <c:idx val="4"/>
          <c:order val="2"/>
          <c:tx>
            <c:strRef>
              <c:f>'400W'!$F$1</c:f>
              <c:strCache>
                <c:ptCount val="1"/>
                <c:pt idx="0">
                  <c:v>depth_mm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'400W'!$A$2:$A$23</c:f>
              <c:numCache>
                <c:formatCode>General</c:formatCode>
                <c:ptCount val="2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</c:numCache>
            </c:numRef>
          </c:xVal>
          <c:yVal>
            <c:numRef>
              <c:f>'400W'!$F$2:$F$23</c:f>
              <c:numCache>
                <c:formatCode>General</c:formatCode>
                <c:ptCount val="22"/>
                <c:pt idx="0">
                  <c:v>0.16541353383458601</c:v>
                </c:pt>
                <c:pt idx="1">
                  <c:v>0.140350877192982</c:v>
                </c:pt>
                <c:pt idx="2">
                  <c:v>0.12531328320801999</c:v>
                </c:pt>
                <c:pt idx="3">
                  <c:v>0.115288220551378</c:v>
                </c:pt>
                <c:pt idx="4">
                  <c:v>0.105263157894736</c:v>
                </c:pt>
                <c:pt idx="5">
                  <c:v>0.10025062656641601</c:v>
                </c:pt>
                <c:pt idx="6">
                  <c:v>9.0225563909774403E-2</c:v>
                </c:pt>
                <c:pt idx="7">
                  <c:v>8.5213032581453602E-2</c:v>
                </c:pt>
                <c:pt idx="8">
                  <c:v>8.02005012531328E-2</c:v>
                </c:pt>
                <c:pt idx="9">
                  <c:v>8.02005012531328E-2</c:v>
                </c:pt>
                <c:pt idx="10">
                  <c:v>7.5187969924811998E-2</c:v>
                </c:pt>
                <c:pt idx="11">
                  <c:v>7.0175438596491196E-2</c:v>
                </c:pt>
                <c:pt idx="12">
                  <c:v>7.0175438596491196E-2</c:v>
                </c:pt>
                <c:pt idx="13">
                  <c:v>6.5162907268170395E-2</c:v>
                </c:pt>
                <c:pt idx="14">
                  <c:v>6.5162907268170395E-2</c:v>
                </c:pt>
                <c:pt idx="15">
                  <c:v>6.01503759398496E-2</c:v>
                </c:pt>
                <c:pt idx="16">
                  <c:v>6.01503759398496E-2</c:v>
                </c:pt>
                <c:pt idx="17">
                  <c:v>5.5137844611528798E-2</c:v>
                </c:pt>
                <c:pt idx="18">
                  <c:v>5.5137844611528798E-2</c:v>
                </c:pt>
                <c:pt idx="19">
                  <c:v>5.5137844611528798E-2</c:v>
                </c:pt>
                <c:pt idx="20">
                  <c:v>5.0125313283208003E-2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A0-42BF-9C77-F2F34D9B9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562208"/>
        <c:axId val="1532810256"/>
      </c:scatterChart>
      <c:valAx>
        <c:axId val="621562208"/>
        <c:scaling>
          <c:logBase val="10"/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810256"/>
        <c:crosses val="autoZero"/>
        <c:crossBetween val="midCat"/>
      </c:valAx>
      <c:valAx>
        <c:axId val="1532810256"/>
        <c:scaling>
          <c:logBase val="10"/>
          <c:orientation val="minMax"/>
          <c:max val="0.4"/>
          <c:min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562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'500W'!$L$2:$L$14</c:f>
              <c:numCache>
                <c:formatCode>General</c:formatCode>
                <c:ptCount val="13"/>
                <c:pt idx="0">
                  <c:v>0.7</c:v>
                </c:pt>
                <c:pt idx="1">
                  <c:v>0.75</c:v>
                </c:pt>
                <c:pt idx="2">
                  <c:v>0.8</c:v>
                </c:pt>
                <c:pt idx="3">
                  <c:v>0.85</c:v>
                </c:pt>
                <c:pt idx="4">
                  <c:v>0.9</c:v>
                </c:pt>
                <c:pt idx="5">
                  <c:v>0.78</c:v>
                </c:pt>
                <c:pt idx="6">
                  <c:v>0.79</c:v>
                </c:pt>
                <c:pt idx="7">
                  <c:v>0.81</c:v>
                </c:pt>
                <c:pt idx="8">
                  <c:v>0.82</c:v>
                </c:pt>
                <c:pt idx="9">
                  <c:v>0.81499999999999995</c:v>
                </c:pt>
                <c:pt idx="10">
                  <c:v>0.81299999999999994</c:v>
                </c:pt>
                <c:pt idx="11">
                  <c:v>0.81399999999999995</c:v>
                </c:pt>
              </c:numCache>
            </c:numRef>
          </c:xVal>
          <c:yVal>
            <c:numRef>
              <c:f>'500W'!$M$2:$M$14</c:f>
              <c:numCache>
                <c:formatCode>General</c:formatCode>
                <c:ptCount val="13"/>
                <c:pt idx="0">
                  <c:v>6.2695550078049377E-3</c:v>
                </c:pt>
                <c:pt idx="1">
                  <c:v>3.9429250464418485E-3</c:v>
                </c:pt>
                <c:pt idx="2">
                  <c:v>2.5431034179019827E-3</c:v>
                </c:pt>
                <c:pt idx="3">
                  <c:v>3.2019928168848626E-3</c:v>
                </c:pt>
                <c:pt idx="4">
                  <c:v>5.6492360309748756E-3</c:v>
                </c:pt>
                <c:pt idx="5">
                  <c:v>2.9640712558490611E-3</c:v>
                </c:pt>
                <c:pt idx="6">
                  <c:v>2.7256122117090107E-3</c:v>
                </c:pt>
                <c:pt idx="7">
                  <c:v>2.4160215167896024E-3</c:v>
                </c:pt>
                <c:pt idx="8">
                  <c:v>2.4644154263234442E-3</c:v>
                </c:pt>
                <c:pt idx="9">
                  <c:v>2.4138647094080886E-3</c:v>
                </c:pt>
                <c:pt idx="10">
                  <c:v>2.3997903363253644E-3</c:v>
                </c:pt>
                <c:pt idx="11">
                  <c:v>2.4037447000437198E-3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B0-4A84-9449-824D5A08D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616912"/>
        <c:axId val="1776462832"/>
      </c:scatterChart>
      <c:valAx>
        <c:axId val="922616912"/>
        <c:scaling>
          <c:orientation val="minMax"/>
          <c:max val="0.83000000000000007"/>
          <c:min val="0.7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462832"/>
        <c:crosses val="autoZero"/>
        <c:crossBetween val="midCat"/>
      </c:valAx>
      <c:valAx>
        <c:axId val="1776462832"/>
        <c:scaling>
          <c:logBase val="10"/>
          <c:orientation val="minMax"/>
          <c:max val="2.6000000000000007E-3"/>
          <c:min val="2.2000000000000006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61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575988706934282"/>
                  <c:y val="1.43254532769134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'combined results'!$A$2:$A$4</c:f>
              <c:numCache>
                <c:formatCode>General</c:formatCode>
                <c:ptCount val="3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</c:numCache>
            </c:numRef>
          </c:xVal>
          <c:yVal>
            <c:numRef>
              <c:f>'combined results'!$B$2:$B$4</c:f>
              <c:numCache>
                <c:formatCode>General</c:formatCode>
                <c:ptCount val="3"/>
                <c:pt idx="0">
                  <c:v>0.61352441800000002</c:v>
                </c:pt>
                <c:pt idx="1">
                  <c:v>0.71199999999999997</c:v>
                </c:pt>
                <c:pt idx="2">
                  <c:v>0.81299999999999994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AF-405D-B1E5-A57B988C9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666208"/>
        <c:axId val="1776429712"/>
      </c:scatterChart>
      <c:valAx>
        <c:axId val="2029666208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429712"/>
        <c:crosses val="autoZero"/>
        <c:crossBetween val="midCat"/>
        <c:majorUnit val="100"/>
      </c:valAx>
      <c:valAx>
        <c:axId val="1776429712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66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273050</xdr:colOff>
      <xdr:row>4</xdr:row>
      <xdr:rowOff>104775</xdr:rowOff>
    </xdr:from>
    <xdr:to>
      <xdr:col>18</xdr:col>
      <xdr:colOff>577850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2EDCC5-ABD4-A7D5-5046-984926478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257175</xdr:colOff>
      <xdr:row>4</xdr:row>
      <xdr:rowOff>37042</xdr:rowOff>
    </xdr:from>
    <xdr:to>
      <xdr:col>20</xdr:col>
      <xdr:colOff>295275</xdr:colOff>
      <xdr:row>19</xdr:row>
      <xdr:rowOff>64558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8057BE-7A9E-B210-8A0F-B80DDA91B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90487</xdr:colOff>
      <xdr:row>12</xdr:row>
      <xdr:rowOff>104775</xdr:rowOff>
    </xdr:from>
    <xdr:to>
      <xdr:col>15</xdr:col>
      <xdr:colOff>128587</xdr:colOff>
      <xdr:row>27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B953D6-EBDE-370D-BDBE-4C4B4EEA6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4350-4F0A-4508-88C5-F6E158CBCA97}">
  <dimension ref="A1:I22"/>
  <sheetViews>
    <sheetView workbookViewId="0">
      <selection activeCell="L9" sqref="L9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35">
      <c r="A2">
        <v>0</v>
      </c>
      <c r="B2">
        <v>0.20050125299999999</v>
      </c>
      <c r="C2">
        <v>9.8997494000000005E-2</v>
      </c>
      <c r="D2">
        <v>0.101503759</v>
      </c>
      <c r="E2">
        <v>0.205513784</v>
      </c>
      <c r="F2">
        <v>0.10025062699999999</v>
      </c>
      <c r="G2">
        <f>0.5*EXP(-(0.001*250+0.3139)*SQRT(A2))</f>
        <v>0.5</v>
      </c>
      <c r="H2">
        <f>G2*B2</f>
        <v>0.1002506265</v>
      </c>
      <c r="I2" s="1">
        <f>ABS(H2-C2)/C2</f>
        <v>1.2658224459701876E-2</v>
      </c>
    </row>
    <row r="3" spans="1:9" x14ac:dyDescent="0.35">
      <c r="A3">
        <v>0.1</v>
      </c>
      <c r="B3">
        <v>0.185463659</v>
      </c>
      <c r="C3">
        <v>8.3959900000000004E-2</v>
      </c>
      <c r="D3">
        <v>0.101503759</v>
      </c>
      <c r="E3">
        <v>0.185463659</v>
      </c>
      <c r="F3">
        <v>9.0225563999999994E-2</v>
      </c>
      <c r="G3">
        <f t="shared" ref="G3:G22" si="0">0.5*EXP(-(0.001*250+0.3139)*SQRT(A3))</f>
        <v>0.41833697212440568</v>
      </c>
      <c r="H3">
        <f t="shared" ref="H3:H22" si="1">G3*B3</f>
        <v>7.7586305545173276E-2</v>
      </c>
      <c r="I3" s="1">
        <f t="shared" ref="I3:I22" si="2">ABS(H3-C3)/C3</f>
        <v>7.5912363578645614E-2</v>
      </c>
    </row>
    <row r="4" spans="1:9" x14ac:dyDescent="0.35">
      <c r="A4">
        <v>0.2</v>
      </c>
      <c r="B4">
        <v>0.175438596</v>
      </c>
      <c r="C4">
        <v>7.3934837000000003E-2</v>
      </c>
      <c r="D4">
        <v>0.101503759</v>
      </c>
      <c r="E4">
        <v>0.175438596</v>
      </c>
      <c r="F4">
        <v>8.5213032999999994E-2</v>
      </c>
      <c r="G4">
        <f t="shared" si="0"/>
        <v>0.38855096759348179</v>
      </c>
      <c r="H4">
        <f t="shared" si="1"/>
        <v>6.8166836229041947E-2</v>
      </c>
      <c r="I4" s="1">
        <f t="shared" si="2"/>
        <v>7.8014654593179883E-2</v>
      </c>
    </row>
    <row r="5" spans="1:9" x14ac:dyDescent="0.35">
      <c r="A5">
        <v>0.3</v>
      </c>
      <c r="B5">
        <v>0.165413534</v>
      </c>
      <c r="C5">
        <v>6.3909774000000003E-2</v>
      </c>
      <c r="D5">
        <v>0.101503759</v>
      </c>
      <c r="E5">
        <v>0.165413534</v>
      </c>
      <c r="F5">
        <v>8.0200500999999993E-2</v>
      </c>
      <c r="G5">
        <f t="shared" si="0"/>
        <v>0.36714150584341054</v>
      </c>
      <c r="H5">
        <f t="shared" si="1"/>
        <v>6.0730173959640192E-2</v>
      </c>
      <c r="I5" s="1">
        <f t="shared" si="2"/>
        <v>4.9751389206286509E-2</v>
      </c>
    </row>
    <row r="6" spans="1:9" x14ac:dyDescent="0.35">
      <c r="A6">
        <v>0.4</v>
      </c>
      <c r="B6">
        <v>0.16040100299999999</v>
      </c>
      <c r="C6">
        <v>5.8897243000000002E-2</v>
      </c>
      <c r="D6">
        <v>0.101503759</v>
      </c>
      <c r="E6">
        <v>0.155388471</v>
      </c>
      <c r="F6">
        <v>7.5187970000000007E-2</v>
      </c>
      <c r="G6">
        <f t="shared" si="0"/>
        <v>0.35001164449243161</v>
      </c>
      <c r="H6">
        <f t="shared" si="1"/>
        <v>5.6142218838265451E-2</v>
      </c>
      <c r="I6" s="1">
        <f t="shared" si="2"/>
        <v>4.6776793299722889E-2</v>
      </c>
    </row>
    <row r="7" spans="1:9" x14ac:dyDescent="0.35">
      <c r="A7">
        <v>0.5</v>
      </c>
      <c r="B7">
        <v>0.155388471</v>
      </c>
      <c r="C7">
        <v>5.3884712000000001E-2</v>
      </c>
      <c r="D7">
        <v>0.101503759</v>
      </c>
      <c r="E7">
        <v>0.145363409</v>
      </c>
      <c r="F7">
        <v>7.0175439000000006E-2</v>
      </c>
      <c r="G7">
        <f t="shared" si="0"/>
        <v>0.33558342509781763</v>
      </c>
      <c r="H7">
        <f t="shared" si="1"/>
        <v>5.2145795318892907E-2</v>
      </c>
      <c r="I7" s="1">
        <f t="shared" si="2"/>
        <v>3.2271058275436165E-2</v>
      </c>
    </row>
    <row r="8" spans="1:9" x14ac:dyDescent="0.35">
      <c r="A8">
        <v>0.6</v>
      </c>
      <c r="B8">
        <v>0.155388471</v>
      </c>
      <c r="C8">
        <v>5.3884712000000001E-2</v>
      </c>
      <c r="D8">
        <v>0.101503759</v>
      </c>
      <c r="E8">
        <v>0.135338346</v>
      </c>
      <c r="F8">
        <v>6.5162907000000006E-2</v>
      </c>
      <c r="G8">
        <f t="shared" si="0"/>
        <v>0.32305191460438176</v>
      </c>
      <c r="H8">
        <f t="shared" si="1"/>
        <v>5.0198543063997451E-2</v>
      </c>
      <c r="I8" s="1">
        <f t="shared" si="2"/>
        <v>6.8408437183491849E-2</v>
      </c>
    </row>
    <row r="9" spans="1:9" x14ac:dyDescent="0.35">
      <c r="A9">
        <v>0.7</v>
      </c>
      <c r="B9">
        <v>0.15037594000000001</v>
      </c>
      <c r="C9">
        <v>4.8872180000000001E-2</v>
      </c>
      <c r="D9">
        <v>0.101503759</v>
      </c>
      <c r="E9">
        <v>0.135338346</v>
      </c>
      <c r="F9">
        <v>6.5162907000000006E-2</v>
      </c>
      <c r="G9">
        <f t="shared" si="0"/>
        <v>0.31194144984931466</v>
      </c>
      <c r="H9">
        <f t="shared" si="1"/>
        <v>4.6908488746053557E-2</v>
      </c>
      <c r="I9" s="1">
        <f t="shared" si="2"/>
        <v>4.0180144490105492E-2</v>
      </c>
    </row>
    <row r="10" spans="1:9" x14ac:dyDescent="0.35">
      <c r="A10">
        <v>0.8</v>
      </c>
      <c r="B10">
        <v>0.145363409</v>
      </c>
      <c r="C10">
        <v>4.3859649000000001E-2</v>
      </c>
      <c r="D10">
        <v>0.101503759</v>
      </c>
      <c r="E10">
        <v>0.125313283</v>
      </c>
      <c r="F10">
        <v>6.0150375999999998E-2</v>
      </c>
      <c r="G10">
        <f t="shared" si="0"/>
        <v>0.30194370883566185</v>
      </c>
      <c r="H10">
        <f t="shared" si="1"/>
        <v>4.389156684245523E-2</v>
      </c>
      <c r="I10" s="1">
        <f t="shared" si="2"/>
        <v>7.2772681001687762E-4</v>
      </c>
    </row>
    <row r="11" spans="1:9" x14ac:dyDescent="0.35">
      <c r="A11">
        <v>0.9</v>
      </c>
      <c r="B11">
        <v>0.145363409</v>
      </c>
      <c r="C11">
        <v>4.3859649000000001E-2</v>
      </c>
      <c r="D11">
        <v>0.101503759</v>
      </c>
      <c r="E11">
        <v>0.125313283</v>
      </c>
      <c r="F11">
        <v>6.0150375999999998E-2</v>
      </c>
      <c r="G11">
        <f t="shared" si="0"/>
        <v>0.2928456231304955</v>
      </c>
      <c r="H11">
        <f t="shared" si="1"/>
        <v>4.2569038088978078E-2</v>
      </c>
      <c r="I11" s="1">
        <f t="shared" si="2"/>
        <v>2.9425928853692426E-2</v>
      </c>
    </row>
    <row r="12" spans="1:9" x14ac:dyDescent="0.35">
      <c r="A12">
        <v>1</v>
      </c>
      <c r="B12">
        <v>0.14035087700000001</v>
      </c>
      <c r="C12">
        <v>3.8847118E-2</v>
      </c>
      <c r="D12">
        <v>0.101503759</v>
      </c>
      <c r="E12">
        <v>0.125313283</v>
      </c>
      <c r="F12">
        <v>5.5137844999999998E-2</v>
      </c>
      <c r="G12">
        <f t="shared" si="0"/>
        <v>0.28449284345148923</v>
      </c>
      <c r="H12">
        <f t="shared" si="1"/>
        <v>3.9928820078640223E-2</v>
      </c>
      <c r="I12" s="1">
        <f t="shared" si="2"/>
        <v>2.7845104973816159E-2</v>
      </c>
    </row>
    <row r="13" spans="1:9" x14ac:dyDescent="0.35">
      <c r="A13">
        <v>1.1000000000000001</v>
      </c>
      <c r="B13">
        <v>0.14035087700000001</v>
      </c>
      <c r="C13">
        <v>3.8847118E-2</v>
      </c>
      <c r="D13">
        <v>0.101503759</v>
      </c>
      <c r="E13">
        <v>0.115288221</v>
      </c>
      <c r="F13">
        <v>5.5137844999999998E-2</v>
      </c>
      <c r="G13">
        <f t="shared" si="0"/>
        <v>0.27676943333396531</v>
      </c>
      <c r="H13">
        <f t="shared" si="1"/>
        <v>3.8844832695215069E-2</v>
      </c>
      <c r="I13" s="1">
        <f t="shared" si="2"/>
        <v>5.8828168023458218E-5</v>
      </c>
    </row>
    <row r="14" spans="1:9" x14ac:dyDescent="0.35">
      <c r="A14">
        <v>1.2</v>
      </c>
      <c r="B14">
        <v>0.14035087700000001</v>
      </c>
      <c r="C14">
        <v>3.8847118E-2</v>
      </c>
      <c r="D14">
        <v>0.101503759</v>
      </c>
      <c r="E14">
        <v>0.115288221</v>
      </c>
      <c r="F14">
        <v>5.0125312999999998E-2</v>
      </c>
      <c r="G14">
        <f t="shared" si="0"/>
        <v>0.26958577062593414</v>
      </c>
      <c r="H14">
        <f t="shared" si="1"/>
        <v>3.78365993340707E-2</v>
      </c>
      <c r="I14" s="1">
        <f t="shared" si="2"/>
        <v>2.6012706165983786E-2</v>
      </c>
    </row>
    <row r="15" spans="1:9" x14ac:dyDescent="0.35">
      <c r="A15">
        <v>1.3</v>
      </c>
      <c r="B15">
        <v>0.135338346</v>
      </c>
      <c r="C15">
        <v>3.3834586E-2</v>
      </c>
      <c r="D15">
        <v>0.101503759</v>
      </c>
      <c r="E15">
        <v>0.115288221</v>
      </c>
      <c r="F15">
        <v>5.0125312999999998E-2</v>
      </c>
      <c r="G15">
        <f t="shared" si="0"/>
        <v>0.26287093655853078</v>
      </c>
      <c r="H15">
        <f t="shared" si="1"/>
        <v>3.557651776530249E-2</v>
      </c>
      <c r="I15" s="1">
        <f t="shared" si="2"/>
        <v>5.1483761772716539E-2</v>
      </c>
    </row>
    <row r="16" spans="1:9" x14ac:dyDescent="0.35">
      <c r="A16">
        <v>1.4</v>
      </c>
      <c r="B16">
        <v>0.135338346</v>
      </c>
      <c r="C16">
        <v>3.3834586E-2</v>
      </c>
      <c r="D16">
        <v>0.101503759</v>
      </c>
      <c r="E16">
        <v>0.105263158</v>
      </c>
      <c r="F16">
        <v>5.0125312999999998E-2</v>
      </c>
      <c r="G16">
        <f t="shared" si="0"/>
        <v>0.25656771361783565</v>
      </c>
      <c r="H16">
        <f t="shared" si="1"/>
        <v>3.472344999803955E-2</v>
      </c>
      <c r="I16" s="1">
        <f t="shared" si="2"/>
        <v>2.6270869637345363E-2</v>
      </c>
    </row>
    <row r="17" spans="1:9" x14ac:dyDescent="0.35">
      <c r="A17">
        <v>1.5</v>
      </c>
      <c r="B17">
        <v>0.135338346</v>
      </c>
      <c r="C17">
        <v>3.3834586E-2</v>
      </c>
      <c r="D17">
        <v>0.101503759</v>
      </c>
      <c r="E17">
        <v>0.105263158</v>
      </c>
      <c r="F17">
        <v>4.5112781999999997E-2</v>
      </c>
      <c r="G17">
        <f t="shared" si="0"/>
        <v>0.25062917729783724</v>
      </c>
      <c r="H17">
        <f t="shared" si="1"/>
        <v>3.3919738314830042E-2</v>
      </c>
      <c r="I17" s="1">
        <f t="shared" si="2"/>
        <v>2.5167240063183288E-3</v>
      </c>
    </row>
    <row r="18" spans="1:9" x14ac:dyDescent="0.35">
      <c r="A18">
        <v>1.6</v>
      </c>
      <c r="B18">
        <v>0.135338346</v>
      </c>
      <c r="C18">
        <v>3.3834586E-2</v>
      </c>
      <c r="D18">
        <v>0.101503759</v>
      </c>
      <c r="E18">
        <v>0.105263158</v>
      </c>
      <c r="F18">
        <v>4.5112781999999997E-2</v>
      </c>
      <c r="G18">
        <f t="shared" si="0"/>
        <v>0.24501630256059265</v>
      </c>
      <c r="H18">
        <f t="shared" si="1"/>
        <v>3.316010113158617E-2</v>
      </c>
      <c r="I18" s="1">
        <f t="shared" si="2"/>
        <v>1.9934775274443432E-2</v>
      </c>
    </row>
    <row r="19" spans="1:9" x14ac:dyDescent="0.35">
      <c r="A19">
        <v>1.7</v>
      </c>
      <c r="B19">
        <v>0.13032581500000001</v>
      </c>
      <c r="C19">
        <v>2.8822054999999999E-2</v>
      </c>
      <c r="D19">
        <v>0.101503759</v>
      </c>
      <c r="E19">
        <v>0.105263158</v>
      </c>
      <c r="F19">
        <v>4.5112781999999997E-2</v>
      </c>
      <c r="G19">
        <f t="shared" si="0"/>
        <v>0.23969623907013174</v>
      </c>
      <c r="H19">
        <f t="shared" si="1"/>
        <v>3.1238607709249765E-2</v>
      </c>
      <c r="I19" s="1">
        <f t="shared" si="2"/>
        <v>8.3843872661049521E-2</v>
      </c>
    </row>
    <row r="20" spans="1:9" x14ac:dyDescent="0.35">
      <c r="A20">
        <v>1.8</v>
      </c>
      <c r="B20">
        <v>0.13032581500000001</v>
      </c>
      <c r="C20">
        <v>2.8822054999999999E-2</v>
      </c>
      <c r="D20">
        <v>0.101503759</v>
      </c>
      <c r="E20">
        <v>9.5238094999999995E-2</v>
      </c>
      <c r="F20">
        <v>4.5112781999999997E-2</v>
      </c>
      <c r="G20">
        <f t="shared" si="0"/>
        <v>0.23464104045372189</v>
      </c>
      <c r="H20">
        <f t="shared" si="1"/>
        <v>3.0579784829579279E-2</v>
      </c>
      <c r="I20" s="1">
        <f t="shared" si="2"/>
        <v>6.0985583074464327E-2</v>
      </c>
    </row>
    <row r="21" spans="1:9" x14ac:dyDescent="0.35">
      <c r="A21">
        <v>1.9</v>
      </c>
      <c r="B21">
        <v>0.13032581500000001</v>
      </c>
      <c r="C21">
        <v>2.8822054999999999E-2</v>
      </c>
      <c r="D21">
        <v>0.101503759</v>
      </c>
      <c r="E21">
        <v>9.5238094999999995E-2</v>
      </c>
      <c r="F21">
        <v>4.0100251000000003E-2</v>
      </c>
      <c r="G21">
        <f t="shared" si="0"/>
        <v>0.22982670979910153</v>
      </c>
      <c r="H21">
        <f t="shared" si="1"/>
        <v>2.9952353263336395E-2</v>
      </c>
      <c r="I21" s="1">
        <f t="shared" si="2"/>
        <v>3.9216435585054436E-2</v>
      </c>
    </row>
    <row r="22" spans="1:9" x14ac:dyDescent="0.35">
      <c r="A22">
        <v>2</v>
      </c>
      <c r="B22">
        <v>0.13032581500000001</v>
      </c>
      <c r="C22">
        <v>2.8822054999999999E-2</v>
      </c>
      <c r="D22">
        <v>0.101503759</v>
      </c>
      <c r="E22">
        <v>9.5238094999999995E-2</v>
      </c>
      <c r="F22">
        <v>4.0100251000000003E-2</v>
      </c>
      <c r="G22">
        <f t="shared" si="0"/>
        <v>0.22523247040076513</v>
      </c>
      <c r="H22">
        <f t="shared" si="1"/>
        <v>2.9353605269443094E-2</v>
      </c>
      <c r="I22" s="1">
        <f t="shared" si="2"/>
        <v>1.8442483349750564E-2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BB8B4-AA71-42C8-9D0B-3A395C38B8FD}">
  <dimension ref="A1:J23"/>
  <sheetViews>
    <sheetView workbookViewId="0">
      <selection activeCell="G1" sqref="G1:J2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35">
      <c r="A2">
        <v>0</v>
      </c>
      <c r="B2">
        <v>0.24561403500000001</v>
      </c>
      <c r="C2">
        <v>0.12406014999999999</v>
      </c>
      <c r="D2">
        <v>0.121553885</v>
      </c>
      <c r="E2">
        <v>0.24561403500000001</v>
      </c>
      <c r="F2">
        <v>0.120300752</v>
      </c>
      <c r="G2">
        <f>0.5*EXP(-$J$2*SQRT(A2))</f>
        <v>0.5</v>
      </c>
      <c r="H2">
        <f>G2*B2</f>
        <v>0.1228070175</v>
      </c>
      <c r="I2">
        <f>SQRT((H2-C2)^2)</f>
        <v>1.2531324999999899E-3</v>
      </c>
      <c r="J2">
        <v>0.61352441800000002</v>
      </c>
    </row>
    <row r="3" spans="1:10" x14ac:dyDescent="0.35">
      <c r="A3">
        <v>0.1</v>
      </c>
      <c r="B3">
        <v>0.22055137799999999</v>
      </c>
      <c r="C3">
        <v>9.8997494000000005E-2</v>
      </c>
      <c r="D3">
        <v>0.121553885</v>
      </c>
      <c r="E3">
        <v>0.21553884700000001</v>
      </c>
      <c r="F3">
        <v>0.110275689</v>
      </c>
      <c r="G3">
        <f t="shared" ref="G3:G22" si="0">0.5*EXP(-$J$2*SQRT(A3))</f>
        <v>0.41182341055963051</v>
      </c>
      <c r="H3">
        <f t="shared" ref="H3:H22" si="1">G3*B3</f>
        <v>9.0828220691586262E-2</v>
      </c>
      <c r="I3">
        <f t="shared" ref="I3:I22" si="2">SQRT((H3-C3)^2)</f>
        <v>8.1692733084137437E-3</v>
      </c>
    </row>
    <row r="4" spans="1:10" x14ac:dyDescent="0.35">
      <c r="A4">
        <v>0.2</v>
      </c>
      <c r="B4">
        <v>0.205513784</v>
      </c>
      <c r="C4">
        <v>8.3959900000000004E-2</v>
      </c>
      <c r="D4">
        <v>0.121553885</v>
      </c>
      <c r="E4">
        <v>0.205513784</v>
      </c>
      <c r="F4">
        <v>0.10025062699999999</v>
      </c>
      <c r="G4">
        <f t="shared" si="0"/>
        <v>0.3800229469171808</v>
      </c>
      <c r="H4">
        <f t="shared" si="1"/>
        <v>7.8099953827780969E-2</v>
      </c>
      <c r="I4">
        <f t="shared" si="2"/>
        <v>5.8599461722190355E-3</v>
      </c>
    </row>
    <row r="5" spans="1:10" x14ac:dyDescent="0.35">
      <c r="A5">
        <v>0.3</v>
      </c>
      <c r="B5">
        <v>0.195488722</v>
      </c>
      <c r="C5">
        <v>7.3934837000000003E-2</v>
      </c>
      <c r="D5">
        <v>0.121553885</v>
      </c>
      <c r="E5">
        <v>0.185463659</v>
      </c>
      <c r="F5">
        <v>9.0225563999999994E-2</v>
      </c>
      <c r="G5">
        <f t="shared" si="0"/>
        <v>0.35729684508136872</v>
      </c>
      <c r="H5">
        <f t="shared" si="1"/>
        <v>6.9847503619588761E-2</v>
      </c>
      <c r="I5">
        <f t="shared" si="2"/>
        <v>4.0873333804112427E-3</v>
      </c>
    </row>
    <row r="6" spans="1:10" x14ac:dyDescent="0.35">
      <c r="A6">
        <v>0.4</v>
      </c>
      <c r="B6">
        <v>0.19047618999999999</v>
      </c>
      <c r="C6">
        <v>6.8922306000000003E-2</v>
      </c>
      <c r="D6">
        <v>0.121553885</v>
      </c>
      <c r="E6">
        <v>0.175438596</v>
      </c>
      <c r="F6">
        <v>8.5213032999999994E-2</v>
      </c>
      <c r="G6">
        <f t="shared" si="0"/>
        <v>0.33919704296993197</v>
      </c>
      <c r="H6">
        <f t="shared" si="1"/>
        <v>6.460896040417892E-2</v>
      </c>
      <c r="I6">
        <f t="shared" si="2"/>
        <v>4.3133455958210831E-3</v>
      </c>
    </row>
    <row r="7" spans="1:10" x14ac:dyDescent="0.35">
      <c r="A7">
        <v>0.5</v>
      </c>
      <c r="B7">
        <v>0.185463659</v>
      </c>
      <c r="C7">
        <v>6.3909774000000003E-2</v>
      </c>
      <c r="D7">
        <v>0.121553885</v>
      </c>
      <c r="E7">
        <v>0.165413534</v>
      </c>
      <c r="F7">
        <v>8.0200500999999993E-2</v>
      </c>
      <c r="G7">
        <f t="shared" si="0"/>
        <v>0.3240120874467517</v>
      </c>
      <c r="H7">
        <f t="shared" si="1"/>
        <v>6.0092467298102539E-2</v>
      </c>
      <c r="I7">
        <f t="shared" si="2"/>
        <v>3.8173067018974632E-3</v>
      </c>
    </row>
    <row r="8" spans="1:10" x14ac:dyDescent="0.35">
      <c r="A8">
        <v>0.6</v>
      </c>
      <c r="B8">
        <v>0.18045112799999999</v>
      </c>
      <c r="C8">
        <v>5.8897243000000002E-2</v>
      </c>
      <c r="D8">
        <v>0.121553885</v>
      </c>
      <c r="E8">
        <v>0.155388471</v>
      </c>
      <c r="F8">
        <v>7.5187970000000007E-2</v>
      </c>
      <c r="G8">
        <f t="shared" si="0"/>
        <v>0.31086978530757814</v>
      </c>
      <c r="H8">
        <f t="shared" si="1"/>
        <v>5.6096803419870299E-2</v>
      </c>
      <c r="I8">
        <f t="shared" si="2"/>
        <v>2.800439580129703E-3</v>
      </c>
    </row>
    <row r="9" spans="1:10" x14ac:dyDescent="0.35">
      <c r="A9">
        <v>0.7</v>
      </c>
      <c r="B9">
        <v>0.175438596</v>
      </c>
      <c r="C9">
        <v>5.3884712000000001E-2</v>
      </c>
      <c r="D9">
        <v>0.121553885</v>
      </c>
      <c r="E9">
        <v>0.155388471</v>
      </c>
      <c r="F9">
        <v>7.0175439000000006E-2</v>
      </c>
      <c r="G9">
        <f t="shared" si="0"/>
        <v>0.29925520643896314</v>
      </c>
      <c r="H9">
        <f t="shared" si="1"/>
        <v>5.2500913263341852E-2</v>
      </c>
      <c r="I9">
        <f t="shared" si="2"/>
        <v>1.3837987366581497E-3</v>
      </c>
    </row>
    <row r="10" spans="1:10" x14ac:dyDescent="0.35">
      <c r="A10">
        <v>0.8</v>
      </c>
      <c r="B10">
        <v>0.17042606499999999</v>
      </c>
      <c r="C10">
        <v>4.8872180000000001E-2</v>
      </c>
      <c r="D10">
        <v>0.121553885</v>
      </c>
      <c r="E10">
        <v>0.145363409</v>
      </c>
      <c r="F10">
        <v>7.0175439000000006E-2</v>
      </c>
      <c r="G10">
        <f t="shared" si="0"/>
        <v>0.28883488036723681</v>
      </c>
      <c r="H10">
        <f t="shared" si="1"/>
        <v>4.9224992095733923E-2</v>
      </c>
      <c r="I10">
        <f t="shared" si="2"/>
        <v>3.5281209573392175E-4</v>
      </c>
    </row>
    <row r="11" spans="1:10" x14ac:dyDescent="0.35">
      <c r="A11">
        <v>0.9</v>
      </c>
      <c r="B11">
        <v>0.17042606499999999</v>
      </c>
      <c r="C11">
        <v>4.8872180000000001E-2</v>
      </c>
      <c r="D11">
        <v>0.121553885</v>
      </c>
      <c r="E11">
        <v>0.145363409</v>
      </c>
      <c r="F11">
        <v>6.5162907000000006E-2</v>
      </c>
      <c r="G11">
        <f t="shared" si="0"/>
        <v>0.27937856617523787</v>
      </c>
      <c r="H11">
        <f t="shared" si="1"/>
        <v>4.7613389678587886E-2</v>
      </c>
      <c r="I11">
        <f t="shared" si="2"/>
        <v>1.2587903214121149E-3</v>
      </c>
    </row>
    <row r="12" spans="1:10" x14ac:dyDescent="0.35">
      <c r="A12">
        <v>1</v>
      </c>
      <c r="B12">
        <v>0.165413534</v>
      </c>
      <c r="C12">
        <v>4.3859649000000001E-2</v>
      </c>
      <c r="D12">
        <v>0.121553885</v>
      </c>
      <c r="E12">
        <v>0.135338346</v>
      </c>
      <c r="F12">
        <v>6.0150375999999998E-2</v>
      </c>
      <c r="G12">
        <f t="shared" si="0"/>
        <v>0.27071962207631689</v>
      </c>
      <c r="H12">
        <f t="shared" si="1"/>
        <v>4.4780689410787992E-2</v>
      </c>
      <c r="I12">
        <f t="shared" si="2"/>
        <v>9.2104041078799187E-4</v>
      </c>
    </row>
    <row r="13" spans="1:10" x14ac:dyDescent="0.35">
      <c r="A13">
        <v>1.1000000000000001</v>
      </c>
      <c r="B13">
        <v>0.165413534</v>
      </c>
      <c r="C13">
        <v>4.3859649000000001E-2</v>
      </c>
      <c r="D13">
        <v>0.121553885</v>
      </c>
      <c r="E13">
        <v>0.135338346</v>
      </c>
      <c r="F13">
        <v>6.0150375999999998E-2</v>
      </c>
      <c r="G13">
        <f t="shared" si="0"/>
        <v>0.26273298761920283</v>
      </c>
      <c r="H13">
        <f t="shared" si="1"/>
        <v>4.3459591980470585E-2</v>
      </c>
      <c r="I13">
        <f t="shared" si="2"/>
        <v>4.0005701952941508E-4</v>
      </c>
    </row>
    <row r="14" spans="1:10" x14ac:dyDescent="0.35">
      <c r="A14">
        <v>1.2</v>
      </c>
      <c r="B14">
        <v>0.16040100299999999</v>
      </c>
      <c r="C14">
        <v>3.8847118E-2</v>
      </c>
      <c r="D14">
        <v>0.121553885</v>
      </c>
      <c r="E14">
        <v>0.125313283</v>
      </c>
      <c r="F14">
        <v>6.0150375999999998E-2</v>
      </c>
      <c r="G14">
        <f t="shared" si="0"/>
        <v>0.25532207101019921</v>
      </c>
      <c r="H14">
        <f t="shared" si="1"/>
        <v>4.0953916278073176E-2</v>
      </c>
      <c r="I14">
        <f t="shared" si="2"/>
        <v>2.1067982780731756E-3</v>
      </c>
    </row>
    <row r="15" spans="1:10" x14ac:dyDescent="0.35">
      <c r="A15">
        <v>1.3</v>
      </c>
      <c r="B15">
        <v>0.16040100299999999</v>
      </c>
      <c r="C15">
        <v>3.8847118E-2</v>
      </c>
      <c r="D15">
        <v>0.121553885</v>
      </c>
      <c r="E15">
        <v>0.125313283</v>
      </c>
      <c r="F15">
        <v>5.5137844999999998E-2</v>
      </c>
      <c r="G15">
        <f t="shared" si="0"/>
        <v>0.24841050363250419</v>
      </c>
      <c r="H15">
        <f t="shared" si="1"/>
        <v>3.9845293938388815E-2</v>
      </c>
      <c r="I15">
        <f t="shared" si="2"/>
        <v>9.9817593838881502E-4</v>
      </c>
    </row>
    <row r="16" spans="1:10" x14ac:dyDescent="0.35">
      <c r="A16">
        <v>1.4</v>
      </c>
      <c r="B16">
        <v>0.16040100299999999</v>
      </c>
      <c r="C16">
        <v>3.8847118E-2</v>
      </c>
      <c r="D16">
        <v>0.121553885</v>
      </c>
      <c r="E16">
        <v>0.125313283</v>
      </c>
      <c r="F16">
        <v>5.5137844999999998E-2</v>
      </c>
      <c r="G16">
        <f t="shared" si="0"/>
        <v>0.24193672312318623</v>
      </c>
      <c r="H16">
        <f t="shared" si="1"/>
        <v>3.8806893051492361E-2</v>
      </c>
      <c r="I16">
        <f t="shared" si="2"/>
        <v>4.0224948507638913E-5</v>
      </c>
    </row>
    <row r="17" spans="1:9" x14ac:dyDescent="0.35">
      <c r="A17">
        <v>1.5</v>
      </c>
      <c r="B17">
        <v>0.155388471</v>
      </c>
      <c r="C17">
        <v>3.3834586E-2</v>
      </c>
      <c r="D17">
        <v>0.121553885</v>
      </c>
      <c r="E17">
        <v>0.115288221</v>
      </c>
      <c r="F17">
        <v>5.0125312999999998E-2</v>
      </c>
      <c r="G17">
        <f t="shared" si="0"/>
        <v>0.23585028402793723</v>
      </c>
      <c r="H17">
        <f t="shared" si="1"/>
        <v>3.6648415020016888E-2</v>
      </c>
      <c r="I17">
        <f t="shared" si="2"/>
        <v>2.8138290200168878E-3</v>
      </c>
    </row>
    <row r="18" spans="1:9" x14ac:dyDescent="0.35">
      <c r="A18">
        <v>1.6</v>
      </c>
      <c r="B18">
        <v>0.155388471</v>
      </c>
      <c r="C18">
        <v>3.3834586E-2</v>
      </c>
      <c r="D18">
        <v>0.121553885</v>
      </c>
      <c r="E18">
        <v>0.115288221</v>
      </c>
      <c r="F18">
        <v>5.0125312999999998E-2</v>
      </c>
      <c r="G18">
        <f t="shared" si="0"/>
        <v>0.23010926791909178</v>
      </c>
      <c r="H18">
        <f t="shared" si="1"/>
        <v>3.5756327304877024E-2</v>
      </c>
      <c r="I18">
        <f t="shared" si="2"/>
        <v>1.921741304877024E-3</v>
      </c>
    </row>
    <row r="19" spans="1:9" x14ac:dyDescent="0.35">
      <c r="A19">
        <v>1.7</v>
      </c>
      <c r="B19">
        <v>0.155388471</v>
      </c>
      <c r="C19">
        <v>3.3834586E-2</v>
      </c>
      <c r="D19">
        <v>0.121553885</v>
      </c>
      <c r="E19">
        <v>0.115288221</v>
      </c>
      <c r="F19">
        <v>5.0125312999999998E-2</v>
      </c>
      <c r="G19">
        <f t="shared" si="0"/>
        <v>0.22467841791297605</v>
      </c>
      <c r="H19">
        <f t="shared" si="1"/>
        <v>3.491243582619636E-2</v>
      </c>
      <c r="I19">
        <f t="shared" si="2"/>
        <v>1.0778498261963601E-3</v>
      </c>
    </row>
    <row r="20" spans="1:9" x14ac:dyDescent="0.35">
      <c r="A20">
        <v>1.8</v>
      </c>
      <c r="B20">
        <v>0.155388471</v>
      </c>
      <c r="C20">
        <v>3.3834586E-2</v>
      </c>
      <c r="D20">
        <v>0.121553885</v>
      </c>
      <c r="E20">
        <v>0.115288221</v>
      </c>
      <c r="F20">
        <v>5.0125312999999998E-2</v>
      </c>
      <c r="G20">
        <f t="shared" si="0"/>
        <v>0.2195277648192574</v>
      </c>
      <c r="H20">
        <f t="shared" si="1"/>
        <v>3.4112083717311996E-2</v>
      </c>
      <c r="I20">
        <f t="shared" si="2"/>
        <v>2.7749771731199607E-4</v>
      </c>
    </row>
    <row r="21" spans="1:9" x14ac:dyDescent="0.35">
      <c r="A21">
        <v>1.9</v>
      </c>
      <c r="B21">
        <v>0.155388471</v>
      </c>
      <c r="C21">
        <v>3.3834586E-2</v>
      </c>
      <c r="D21">
        <v>0.121553885</v>
      </c>
      <c r="E21">
        <v>0.105263158</v>
      </c>
      <c r="F21">
        <v>4.5112781999999997E-2</v>
      </c>
      <c r="G21">
        <f t="shared" si="0"/>
        <v>0.21463159560777059</v>
      </c>
      <c r="H21">
        <f t="shared" si="1"/>
        <v>3.335127546978179E-2</v>
      </c>
      <c r="I21">
        <f t="shared" si="2"/>
        <v>4.833105302182103E-4</v>
      </c>
    </row>
    <row r="22" spans="1:9" x14ac:dyDescent="0.35">
      <c r="A22">
        <v>2</v>
      </c>
      <c r="B22">
        <v>0.15037594000000001</v>
      </c>
      <c r="C22">
        <v>2.8822054999999999E-2</v>
      </c>
      <c r="D22">
        <v>0.121553885</v>
      </c>
      <c r="E22">
        <v>0.105263158</v>
      </c>
      <c r="F22">
        <v>4.5112781999999997E-2</v>
      </c>
      <c r="G22">
        <f t="shared" si="0"/>
        <v>0.20996766562320293</v>
      </c>
      <c r="H22">
        <f t="shared" si="1"/>
        <v>3.1574085087694832E-2</v>
      </c>
      <c r="I22">
        <f t="shared" si="2"/>
        <v>2.7520300876948331E-3</v>
      </c>
    </row>
    <row r="23" spans="1:9" x14ac:dyDescent="0.35">
      <c r="I23">
        <f>AVERAGE(I2:I22)</f>
        <v>2.2423206416332759E-3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CF71-07EB-45F7-91E1-820AB0CD1E59}">
  <dimension ref="A1:J23"/>
  <sheetViews>
    <sheetView workbookViewId="0">
      <selection activeCell="U21" sqref="U2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35">
      <c r="A2">
        <v>0</v>
      </c>
      <c r="B2">
        <v>0.325814536340852</v>
      </c>
      <c r="C2">
        <v>0.16416040100250601</v>
      </c>
      <c r="D2">
        <v>0.16165413533834599</v>
      </c>
      <c r="E2">
        <v>0.325814536340852</v>
      </c>
      <c r="F2">
        <v>0.16541353383458601</v>
      </c>
      <c r="G2">
        <f>0.5*EXP(-$J$2*SQRT(A2))</f>
        <v>0.5</v>
      </c>
      <c r="H2">
        <f>G2*B2</f>
        <v>0.162907268170426</v>
      </c>
      <c r="I2">
        <f>SQRT((H2-C2)^2)</f>
        <v>1.2531328320800061E-3</v>
      </c>
      <c r="J2">
        <v>0.71199999999999997</v>
      </c>
    </row>
    <row r="3" spans="1:10" x14ac:dyDescent="0.35">
      <c r="A3">
        <v>0.1</v>
      </c>
      <c r="B3">
        <v>0.28571428571428498</v>
      </c>
      <c r="C3">
        <v>0.124060150375939</v>
      </c>
      <c r="D3">
        <v>0.16165413533834599</v>
      </c>
      <c r="E3">
        <v>0.28571428571428498</v>
      </c>
      <c r="F3">
        <v>0.140350877192982</v>
      </c>
      <c r="G3">
        <f t="shared" ref="G3:G22" si="0">0.5*EXP(-$J$2*SQRT(A3))</f>
        <v>0.39919656073950832</v>
      </c>
      <c r="H3">
        <f t="shared" ref="H3:H22" si="1">G3*B3</f>
        <v>0.1140561602112878</v>
      </c>
      <c r="I3">
        <f t="shared" ref="I3:I22" si="2">SQRT((H3-C3)^2)</f>
        <v>1.00039901646512E-2</v>
      </c>
    </row>
    <row r="4" spans="1:10" x14ac:dyDescent="0.35">
      <c r="A4">
        <v>0.2</v>
      </c>
      <c r="B4">
        <v>0.26566416040100199</v>
      </c>
      <c r="C4">
        <v>0.104010025062656</v>
      </c>
      <c r="D4">
        <v>0.16165413533834599</v>
      </c>
      <c r="E4">
        <v>0.255639097744361</v>
      </c>
      <c r="F4">
        <v>0.12531328320801999</v>
      </c>
      <c r="G4">
        <f t="shared" si="0"/>
        <v>0.36365005521140981</v>
      </c>
      <c r="H4">
        <f t="shared" si="1"/>
        <v>9.6608786597517204E-2</v>
      </c>
      <c r="I4">
        <f t="shared" si="2"/>
        <v>7.401238465138793E-3</v>
      </c>
    </row>
    <row r="5" spans="1:10" x14ac:dyDescent="0.35">
      <c r="A5">
        <v>0.3</v>
      </c>
      <c r="B5">
        <v>0.255639097744361</v>
      </c>
      <c r="C5">
        <v>9.3984962406014894E-2</v>
      </c>
      <c r="D5">
        <v>0.16165413533834599</v>
      </c>
      <c r="E5">
        <v>0.23558897243107699</v>
      </c>
      <c r="F5">
        <v>0.115288220551378</v>
      </c>
      <c r="G5">
        <f t="shared" si="0"/>
        <v>0.33853572891068623</v>
      </c>
      <c r="H5">
        <f t="shared" si="1"/>
        <v>8.654296829295742E-2</v>
      </c>
      <c r="I5">
        <f t="shared" si="2"/>
        <v>7.4419941130574735E-3</v>
      </c>
    </row>
    <row r="6" spans="1:10" x14ac:dyDescent="0.35">
      <c r="A6">
        <v>0.4</v>
      </c>
      <c r="B6">
        <v>0.24561403508771901</v>
      </c>
      <c r="C6">
        <v>8.3959899749373304E-2</v>
      </c>
      <c r="D6">
        <v>0.16165413533834599</v>
      </c>
      <c r="E6">
        <v>0.22556390977443599</v>
      </c>
      <c r="F6">
        <v>0.105263157894736</v>
      </c>
      <c r="G6">
        <f t="shared" si="0"/>
        <v>0.3187157882125039</v>
      </c>
      <c r="H6">
        <f t="shared" si="1"/>
        <v>7.8281070789035956E-2</v>
      </c>
      <c r="I6">
        <f t="shared" si="2"/>
        <v>5.6788289603373482E-3</v>
      </c>
    </row>
    <row r="7" spans="1:10" x14ac:dyDescent="0.35">
      <c r="A7">
        <v>0.5</v>
      </c>
      <c r="B7">
        <v>0.23558897243107699</v>
      </c>
      <c r="C7">
        <v>7.3934837092731798E-2</v>
      </c>
      <c r="D7">
        <v>0.16165413533834599</v>
      </c>
      <c r="E7">
        <v>0.20551378446115201</v>
      </c>
      <c r="F7">
        <v>0.10025062656641601</v>
      </c>
      <c r="G7">
        <f t="shared" si="0"/>
        <v>0.30221783648480527</v>
      </c>
      <c r="H7">
        <f t="shared" si="1"/>
        <v>7.1199189547798525E-2</v>
      </c>
      <c r="I7">
        <f t="shared" si="2"/>
        <v>2.7356475449332729E-3</v>
      </c>
    </row>
    <row r="8" spans="1:10" x14ac:dyDescent="0.35">
      <c r="A8">
        <v>0.6</v>
      </c>
      <c r="B8">
        <v>0.23057644110275599</v>
      </c>
      <c r="C8">
        <v>6.8922305764410802E-2</v>
      </c>
      <c r="D8">
        <v>0.16165413533834599</v>
      </c>
      <c r="E8">
        <v>0.19548872180451099</v>
      </c>
      <c r="F8">
        <v>9.0225563909774403E-2</v>
      </c>
      <c r="G8">
        <f t="shared" si="0"/>
        <v>0.28803882207480802</v>
      </c>
      <c r="H8">
        <f t="shared" si="1"/>
        <v>6.6414966493439184E-2</v>
      </c>
      <c r="I8">
        <f t="shared" si="2"/>
        <v>2.5073392709716175E-3</v>
      </c>
    </row>
    <row r="9" spans="1:10" x14ac:dyDescent="0.35">
      <c r="A9">
        <v>0.7</v>
      </c>
      <c r="B9">
        <v>0.22556390977443599</v>
      </c>
      <c r="C9">
        <v>6.3909774436090097E-2</v>
      </c>
      <c r="D9">
        <v>0.16165413533834599</v>
      </c>
      <c r="E9">
        <v>0.185463659147869</v>
      </c>
      <c r="F9">
        <v>8.5213032581453602E-2</v>
      </c>
      <c r="G9">
        <f t="shared" si="0"/>
        <v>0.27558776925100148</v>
      </c>
      <c r="H9">
        <f t="shared" si="1"/>
        <v>6.2162654718270982E-2</v>
      </c>
      <c r="I9">
        <f t="shared" si="2"/>
        <v>1.747119717819115E-3</v>
      </c>
    </row>
    <row r="10" spans="1:10" x14ac:dyDescent="0.35">
      <c r="A10">
        <v>0.8</v>
      </c>
      <c r="B10">
        <v>0.220551378446115</v>
      </c>
      <c r="C10">
        <v>5.8897243107769399E-2</v>
      </c>
      <c r="D10">
        <v>0.16165413533834599</v>
      </c>
      <c r="E10">
        <v>0.185463659147869</v>
      </c>
      <c r="F10">
        <v>8.02005012531328E-2</v>
      </c>
      <c r="G10">
        <f t="shared" si="0"/>
        <v>0.2644827253105228</v>
      </c>
      <c r="H10">
        <f t="shared" si="1"/>
        <v>5.8332029642420992E-2</v>
      </c>
      <c r="I10">
        <f t="shared" si="2"/>
        <v>5.6521346534840755E-4</v>
      </c>
    </row>
    <row r="11" spans="1:10" x14ac:dyDescent="0.35">
      <c r="A11">
        <v>0.9</v>
      </c>
      <c r="B11">
        <v>0.215538847117794</v>
      </c>
      <c r="C11">
        <v>5.3884711779448403E-2</v>
      </c>
      <c r="D11">
        <v>0.16165413533834599</v>
      </c>
      <c r="E11">
        <v>0.175438596491228</v>
      </c>
      <c r="F11">
        <v>8.02005012531328E-2</v>
      </c>
      <c r="G11">
        <f t="shared" si="0"/>
        <v>0.25446049301562623</v>
      </c>
      <c r="H11">
        <f t="shared" si="1"/>
        <v>5.4846121301613551E-2</v>
      </c>
      <c r="I11">
        <f t="shared" si="2"/>
        <v>9.614095221651478E-4</v>
      </c>
    </row>
    <row r="12" spans="1:10" x14ac:dyDescent="0.35">
      <c r="A12">
        <v>1</v>
      </c>
      <c r="B12">
        <v>0.215538847117794</v>
      </c>
      <c r="C12">
        <v>5.3884711779448403E-2</v>
      </c>
      <c r="D12">
        <v>0.16165413533834599</v>
      </c>
      <c r="E12">
        <v>0.16541353383458601</v>
      </c>
      <c r="F12">
        <v>7.5187969924811998E-2</v>
      </c>
      <c r="G12">
        <f t="shared" si="0"/>
        <v>0.24533094584962006</v>
      </c>
      <c r="H12">
        <f t="shared" si="1"/>
        <v>5.287834923074506E-2</v>
      </c>
      <c r="I12">
        <f t="shared" si="2"/>
        <v>1.0063625487033434E-3</v>
      </c>
    </row>
    <row r="13" spans="1:10" x14ac:dyDescent="0.35">
      <c r="A13">
        <v>1.1000000000000001</v>
      </c>
      <c r="B13">
        <v>0.21052631578947301</v>
      </c>
      <c r="C13">
        <v>4.8872180451127699E-2</v>
      </c>
      <c r="D13">
        <v>0.16165413533834599</v>
      </c>
      <c r="E13">
        <v>0.16541353383458601</v>
      </c>
      <c r="F13">
        <v>7.0175438596491196E-2</v>
      </c>
      <c r="G13">
        <f t="shared" si="0"/>
        <v>0.23695167052979593</v>
      </c>
      <c r="H13">
        <f t="shared" si="1"/>
        <v>4.9884562216798982E-2</v>
      </c>
      <c r="I13">
        <f t="shared" si="2"/>
        <v>1.012381765671283E-3</v>
      </c>
    </row>
    <row r="14" spans="1:10" x14ac:dyDescent="0.35">
      <c r="A14">
        <v>1.2</v>
      </c>
      <c r="B14">
        <v>0.21052631578947301</v>
      </c>
      <c r="C14">
        <v>4.8872180451127699E-2</v>
      </c>
      <c r="D14">
        <v>0.16165413533834599</v>
      </c>
      <c r="E14">
        <v>0.15538847117794399</v>
      </c>
      <c r="F14">
        <v>7.0175438596491196E-2</v>
      </c>
      <c r="G14">
        <f t="shared" si="0"/>
        <v>0.22921287949817931</v>
      </c>
      <c r="H14">
        <f t="shared" si="1"/>
        <v>4.8255343052248122E-2</v>
      </c>
      <c r="I14">
        <f t="shared" si="2"/>
        <v>6.1683739887957723E-4</v>
      </c>
    </row>
    <row r="15" spans="1:10" x14ac:dyDescent="0.35">
      <c r="A15">
        <v>1.3</v>
      </c>
      <c r="B15">
        <v>0.20551378446115201</v>
      </c>
      <c r="C15">
        <v>4.3859649122806897E-2</v>
      </c>
      <c r="D15">
        <v>0.16165413533834599</v>
      </c>
      <c r="E15">
        <v>0.15538847117794399</v>
      </c>
      <c r="F15">
        <v>6.5162907268170395E-2</v>
      </c>
      <c r="G15">
        <f t="shared" si="0"/>
        <v>0.22202793243831775</v>
      </c>
      <c r="H15">
        <f t="shared" si="1"/>
        <v>4.5629800651483657E-2</v>
      </c>
      <c r="I15">
        <f t="shared" si="2"/>
        <v>1.7701515286767597E-3</v>
      </c>
    </row>
    <row r="16" spans="1:10" x14ac:dyDescent="0.35">
      <c r="A16">
        <v>1.4</v>
      </c>
      <c r="B16">
        <v>0.20551378446115201</v>
      </c>
      <c r="C16">
        <v>4.3859649122806897E-2</v>
      </c>
      <c r="D16">
        <v>0.16165413533834599</v>
      </c>
      <c r="E16">
        <v>0.145363408521303</v>
      </c>
      <c r="F16">
        <v>6.5162907268170395E-2</v>
      </c>
      <c r="G16">
        <f t="shared" si="0"/>
        <v>0.21532711506896102</v>
      </c>
      <c r="H16">
        <f t="shared" si="1"/>
        <v>4.4252690314924133E-2</v>
      </c>
      <c r="I16">
        <f t="shared" si="2"/>
        <v>3.9304119211723554E-4</v>
      </c>
    </row>
    <row r="17" spans="1:9" x14ac:dyDescent="0.35">
      <c r="A17">
        <v>1.5</v>
      </c>
      <c r="B17">
        <v>0.20551378446115201</v>
      </c>
      <c r="C17">
        <v>4.3859649122806897E-2</v>
      </c>
      <c r="D17">
        <v>0.16165413533834599</v>
      </c>
      <c r="E17">
        <v>0.145363408521303</v>
      </c>
      <c r="F17">
        <v>6.01503759398496E-2</v>
      </c>
      <c r="G17">
        <f t="shared" si="0"/>
        <v>0.20905340590981478</v>
      </c>
      <c r="H17">
        <f t="shared" si="1"/>
        <v>4.2963356603019393E-2</v>
      </c>
      <c r="I17">
        <f t="shared" si="2"/>
        <v>8.9629251978750463E-4</v>
      </c>
    </row>
    <row r="18" spans="1:9" x14ac:dyDescent="0.35">
      <c r="A18">
        <v>1.6</v>
      </c>
      <c r="B18">
        <v>0.20050125313283201</v>
      </c>
      <c r="C18">
        <v>3.88471177944862E-2</v>
      </c>
      <c r="D18">
        <v>0.16165413533834599</v>
      </c>
      <c r="E18">
        <v>0.145363408521303</v>
      </c>
      <c r="F18">
        <v>6.01503759398496E-2</v>
      </c>
      <c r="G18">
        <f t="shared" si="0"/>
        <v>0.20315950731183532</v>
      </c>
      <c r="H18">
        <f t="shared" si="1"/>
        <v>4.0733735801871729E-2</v>
      </c>
      <c r="I18">
        <f t="shared" si="2"/>
        <v>1.8866180073855293E-3</v>
      </c>
    </row>
    <row r="19" spans="1:9" x14ac:dyDescent="0.35">
      <c r="A19">
        <v>1.7</v>
      </c>
      <c r="B19">
        <v>0.20050125313283201</v>
      </c>
      <c r="C19">
        <v>3.88471177944862E-2</v>
      </c>
      <c r="D19">
        <v>0.16165413533834599</v>
      </c>
      <c r="E19">
        <v>0.13533834586466101</v>
      </c>
      <c r="F19">
        <v>5.5137844611528798E-2</v>
      </c>
      <c r="G19">
        <f t="shared" si="0"/>
        <v>0.19760570886652118</v>
      </c>
      <c r="H19">
        <f t="shared" si="1"/>
        <v>3.962019225393907E-2</v>
      </c>
      <c r="I19">
        <f t="shared" si="2"/>
        <v>7.7307445945287018E-4</v>
      </c>
    </row>
    <row r="20" spans="1:9" x14ac:dyDescent="0.35">
      <c r="A20">
        <v>1.8</v>
      </c>
      <c r="B20">
        <v>0.20050125313283201</v>
      </c>
      <c r="C20">
        <v>3.88471177944862E-2</v>
      </c>
      <c r="D20">
        <v>0.16165413533834599</v>
      </c>
      <c r="E20">
        <v>0.13533834586466101</v>
      </c>
      <c r="F20">
        <v>5.5137844611528798E-2</v>
      </c>
      <c r="G20">
        <f t="shared" si="0"/>
        <v>0.19235831532327152</v>
      </c>
      <c r="H20">
        <f t="shared" si="1"/>
        <v>3.8568083272836381E-2</v>
      </c>
      <c r="I20">
        <f t="shared" si="2"/>
        <v>2.7903452164981801E-4</v>
      </c>
    </row>
    <row r="21" spans="1:9" x14ac:dyDescent="0.35">
      <c r="A21">
        <v>1.9</v>
      </c>
      <c r="B21">
        <v>0.19548872180451099</v>
      </c>
      <c r="C21">
        <v>3.3834586466165197E-2</v>
      </c>
      <c r="D21">
        <v>0.16165413533834599</v>
      </c>
      <c r="E21">
        <v>0.13533834586466101</v>
      </c>
      <c r="F21">
        <v>5.5137844611528798E-2</v>
      </c>
      <c r="G21">
        <f t="shared" si="0"/>
        <v>0.18738846728457914</v>
      </c>
      <c r="H21">
        <f t="shared" si="1"/>
        <v>3.6632331950368802E-2</v>
      </c>
      <c r="I21">
        <f t="shared" si="2"/>
        <v>2.7977454842036051E-3</v>
      </c>
    </row>
    <row r="22" spans="1:9" x14ac:dyDescent="0.35">
      <c r="A22">
        <v>2</v>
      </c>
      <c r="B22">
        <v>0.19548872180451099</v>
      </c>
      <c r="C22">
        <v>3.3834586466165197E-2</v>
      </c>
      <c r="D22">
        <v>0.16165413533834599</v>
      </c>
      <c r="E22">
        <v>0.12531328320801999</v>
      </c>
      <c r="F22">
        <v>5.0125313283208003E-2</v>
      </c>
      <c r="G22">
        <f t="shared" si="0"/>
        <v>0.182671241379113</v>
      </c>
      <c r="H22">
        <f t="shared" si="1"/>
        <v>3.5710167487646098E-2</v>
      </c>
      <c r="I22">
        <f t="shared" si="2"/>
        <v>1.8755810214809016E-3</v>
      </c>
    </row>
    <row r="23" spans="1:9" x14ac:dyDescent="0.35">
      <c r="I23">
        <f>AVERAGE(I2:I22)</f>
        <v>2.5525254525957529E-3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ABB0-46DA-47A6-BBE9-2C08C5125F2B}">
  <dimension ref="A1:M23"/>
  <sheetViews>
    <sheetView workbookViewId="0">
      <selection activeCell="K3" sqref="K3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35">
      <c r="A2">
        <v>0</v>
      </c>
      <c r="B2">
        <v>0.41102756892230502</v>
      </c>
      <c r="C2">
        <v>0.204260651629072</v>
      </c>
      <c r="D2">
        <v>0.20676691729323299</v>
      </c>
      <c r="E2">
        <v>0.406015037593984</v>
      </c>
      <c r="F2">
        <v>0.20551378446115201</v>
      </c>
      <c r="G2">
        <f>0.5*EXP(-$J$2*SQRT(A2))</f>
        <v>0.5</v>
      </c>
      <c r="H2">
        <f>G2*B2</f>
        <v>0.20551378446115251</v>
      </c>
      <c r="I2">
        <f>SQRT((H2-C2)^2)</f>
        <v>1.2531328320805057E-3</v>
      </c>
      <c r="J2">
        <v>0.81299999999999994</v>
      </c>
      <c r="K2">
        <f>0.5*EXP(-(0.001*500+0.3139)*SQRT(A2))</f>
        <v>0.5</v>
      </c>
      <c r="L2">
        <v>0.7</v>
      </c>
      <c r="M2">
        <v>6.2695550078049377E-3</v>
      </c>
    </row>
    <row r="3" spans="1:13" x14ac:dyDescent="0.35">
      <c r="A3">
        <v>0.1</v>
      </c>
      <c r="B3">
        <v>0.35588972431077598</v>
      </c>
      <c r="C3">
        <v>0.14912280701754299</v>
      </c>
      <c r="D3">
        <v>0.20676691729323299</v>
      </c>
      <c r="E3">
        <v>0.34586466165413499</v>
      </c>
      <c r="F3">
        <v>0.17042606516290701</v>
      </c>
      <c r="G3">
        <f t="shared" ref="G3:G22" si="0">0.5*EXP(-$J$2*SQRT(A3))</f>
        <v>0.38664807974445226</v>
      </c>
      <c r="H3">
        <f t="shared" ref="H3:H22" si="1">G3*B3</f>
        <v>0.13760407850554404</v>
      </c>
      <c r="I3">
        <f t="shared" ref="I3:I22" si="2">SQRT((H3-C3)^2)</f>
        <v>1.1518728511998949E-2</v>
      </c>
      <c r="K3">
        <f t="shared" ref="K3:K22" si="3">0.5*EXP(-(0.001*500+0.3139)*SQRT(A3))</f>
        <v>0.38653805342957093</v>
      </c>
      <c r="L3">
        <v>0.75</v>
      </c>
      <c r="M3">
        <v>3.9429250464418485E-3</v>
      </c>
    </row>
    <row r="4" spans="1:13" x14ac:dyDescent="0.35">
      <c r="A4">
        <v>0.2</v>
      </c>
      <c r="B4">
        <v>0.33082706766917203</v>
      </c>
      <c r="C4">
        <v>0.124060150375939</v>
      </c>
      <c r="D4">
        <v>0.20676691729323299</v>
      </c>
      <c r="E4">
        <v>0.30576441102756802</v>
      </c>
      <c r="F4">
        <v>0.150375939849624</v>
      </c>
      <c r="G4">
        <f t="shared" si="0"/>
        <v>0.34758993778242819</v>
      </c>
      <c r="H4">
        <f t="shared" si="1"/>
        <v>0.11499215986787066</v>
      </c>
      <c r="I4">
        <f t="shared" si="2"/>
        <v>9.0679905080683354E-3</v>
      </c>
      <c r="K4">
        <f t="shared" si="3"/>
        <v>0.3474500636821844</v>
      </c>
      <c r="L4">
        <v>0.8</v>
      </c>
      <c r="M4">
        <v>2.5431034179019827E-3</v>
      </c>
    </row>
    <row r="5" spans="1:13" x14ac:dyDescent="0.35">
      <c r="A5">
        <v>0.3</v>
      </c>
      <c r="B5">
        <v>0.31077694235588899</v>
      </c>
      <c r="C5">
        <v>0.104010025062656</v>
      </c>
      <c r="D5">
        <v>0.20676691729323299</v>
      </c>
      <c r="E5">
        <v>0.28571428571428498</v>
      </c>
      <c r="F5">
        <v>0.13533834586466101</v>
      </c>
      <c r="G5">
        <f t="shared" si="0"/>
        <v>0.32031652872494654</v>
      </c>
      <c r="H5">
        <f t="shared" si="1"/>
        <v>9.9546991383191175E-2</v>
      </c>
      <c r="I5">
        <f t="shared" si="2"/>
        <v>4.4630336794648229E-3</v>
      </c>
      <c r="K5">
        <f t="shared" si="3"/>
        <v>0.32015866750751865</v>
      </c>
      <c r="L5">
        <v>0.85</v>
      </c>
      <c r="M5">
        <v>3.2019928168848626E-3</v>
      </c>
    </row>
    <row r="6" spans="1:13" x14ac:dyDescent="0.35">
      <c r="A6">
        <v>0.4</v>
      </c>
      <c r="B6">
        <v>0.30075187969924799</v>
      </c>
      <c r="C6">
        <v>9.3984962406014894E-2</v>
      </c>
      <c r="D6">
        <v>0.20676691729323299</v>
      </c>
      <c r="E6">
        <v>0.26566416040100199</v>
      </c>
      <c r="F6">
        <v>0.12531328320801999</v>
      </c>
      <c r="G6">
        <f t="shared" si="0"/>
        <v>0.29899347514014463</v>
      </c>
      <c r="H6">
        <f t="shared" si="1"/>
        <v>8.9922849666208879E-2</v>
      </c>
      <c r="I6">
        <f t="shared" si="2"/>
        <v>4.0621127398060147E-3</v>
      </c>
      <c r="K6">
        <f t="shared" si="3"/>
        <v>0.29882333349824369</v>
      </c>
      <c r="L6">
        <v>0.9</v>
      </c>
      <c r="M6">
        <v>5.6492360309748756E-3</v>
      </c>
    </row>
    <row r="7" spans="1:13" x14ac:dyDescent="0.35">
      <c r="A7">
        <v>0.5</v>
      </c>
      <c r="B7">
        <v>0.290726817042606</v>
      </c>
      <c r="C7">
        <v>8.3959899749373304E-2</v>
      </c>
      <c r="D7">
        <v>0.20676691729323299</v>
      </c>
      <c r="E7">
        <v>0.24561403508771901</v>
      </c>
      <c r="F7">
        <v>0.115288220551378</v>
      </c>
      <c r="G7">
        <f t="shared" si="0"/>
        <v>0.28138681408426353</v>
      </c>
      <c r="H7">
        <f t="shared" si="1"/>
        <v>8.1806692816477469E-2</v>
      </c>
      <c r="I7">
        <f t="shared" si="2"/>
        <v>2.1532069328958348E-3</v>
      </c>
      <c r="K7">
        <f t="shared" si="3"/>
        <v>0.2812077975810699</v>
      </c>
      <c r="L7">
        <v>0.78</v>
      </c>
      <c r="M7">
        <v>2.9640712558490611E-3</v>
      </c>
    </row>
    <row r="8" spans="1:13" x14ac:dyDescent="0.35">
      <c r="A8">
        <v>0.6</v>
      </c>
      <c r="B8">
        <v>0.28571428571428498</v>
      </c>
      <c r="C8">
        <v>7.8947368421052502E-2</v>
      </c>
      <c r="D8">
        <v>0.20676691729323299</v>
      </c>
      <c r="E8">
        <v>0.23558897243107699</v>
      </c>
      <c r="F8">
        <v>0.105263157894736</v>
      </c>
      <c r="G8">
        <f t="shared" si="0"/>
        <v>0.26636325735938249</v>
      </c>
      <c r="H8">
        <f t="shared" si="1"/>
        <v>7.6103787816966223E-2</v>
      </c>
      <c r="I8">
        <f t="shared" si="2"/>
        <v>2.8435806040862793E-3</v>
      </c>
      <c r="K8">
        <f t="shared" si="3"/>
        <v>0.26617763038785264</v>
      </c>
      <c r="L8">
        <v>0.79</v>
      </c>
      <c r="M8">
        <v>2.7256122117090107E-3</v>
      </c>
    </row>
    <row r="9" spans="1:13" x14ac:dyDescent="0.35">
      <c r="A9">
        <v>0.7</v>
      </c>
      <c r="B9">
        <v>0.27568922305764298</v>
      </c>
      <c r="C9">
        <v>6.8922305764410802E-2</v>
      </c>
      <c r="D9">
        <v>0.20676691729323299</v>
      </c>
      <c r="E9">
        <v>0.22556390977443599</v>
      </c>
      <c r="F9">
        <v>0.10025062656641601</v>
      </c>
      <c r="G9">
        <f t="shared" si="0"/>
        <v>0.25325667416783698</v>
      </c>
      <c r="H9">
        <f t="shared" si="1"/>
        <v>6.9820135735493616E-2</v>
      </c>
      <c r="I9">
        <f t="shared" si="2"/>
        <v>8.9782997108281415E-4</v>
      </c>
      <c r="K9">
        <f t="shared" si="3"/>
        <v>0.25306604518592996</v>
      </c>
      <c r="L9">
        <v>0.81</v>
      </c>
      <c r="M9">
        <v>2.4160215167896024E-3</v>
      </c>
    </row>
    <row r="10" spans="1:13" x14ac:dyDescent="0.35">
      <c r="A10">
        <v>0.8</v>
      </c>
      <c r="B10">
        <v>0.27067669172932302</v>
      </c>
      <c r="C10">
        <v>6.3909774436090097E-2</v>
      </c>
      <c r="D10">
        <v>0.20676691729323299</v>
      </c>
      <c r="E10">
        <v>0.215538847117794</v>
      </c>
      <c r="F10">
        <v>9.5238095238095205E-2</v>
      </c>
      <c r="G10">
        <f t="shared" si="0"/>
        <v>0.24163752969518457</v>
      </c>
      <c r="H10">
        <f t="shared" si="1"/>
        <v>6.5405647135538605E-2</v>
      </c>
      <c r="I10">
        <f t="shared" si="2"/>
        <v>1.4958726994485083E-3</v>
      </c>
      <c r="K10">
        <f t="shared" si="3"/>
        <v>0.24144309350550797</v>
      </c>
      <c r="L10">
        <v>0.82</v>
      </c>
      <c r="M10">
        <v>2.4644154263234442E-3</v>
      </c>
    </row>
    <row r="11" spans="1:13" x14ac:dyDescent="0.35">
      <c r="A11">
        <v>0.9</v>
      </c>
      <c r="B11">
        <v>0.27067669172932302</v>
      </c>
      <c r="C11">
        <v>6.3909774436090097E-2</v>
      </c>
      <c r="D11">
        <v>0.20676691729323299</v>
      </c>
      <c r="E11">
        <v>0.20551378446115201</v>
      </c>
      <c r="F11">
        <v>9.0225563909774403E-2</v>
      </c>
      <c r="G11">
        <f t="shared" si="0"/>
        <v>0.23121050603811508</v>
      </c>
      <c r="H11">
        <f t="shared" si="1"/>
        <v>6.2583294867459657E-2</v>
      </c>
      <c r="I11">
        <f t="shared" si="2"/>
        <v>1.3264795686304398E-3</v>
      </c>
      <c r="K11">
        <f t="shared" si="3"/>
        <v>0.23101317929949322</v>
      </c>
      <c r="L11">
        <v>0.81499999999999995</v>
      </c>
      <c r="M11">
        <v>2.4138647094080886E-3</v>
      </c>
    </row>
    <row r="12" spans="1:13" x14ac:dyDescent="0.35">
      <c r="A12">
        <v>1</v>
      </c>
      <c r="B12">
        <v>0.26566416040100199</v>
      </c>
      <c r="C12">
        <v>5.8897243107769399E-2</v>
      </c>
      <c r="D12">
        <v>0.20676691729323299</v>
      </c>
      <c r="E12">
        <v>0.19548872180451099</v>
      </c>
      <c r="F12">
        <v>8.5213032581453602E-2</v>
      </c>
      <c r="G12">
        <f t="shared" si="0"/>
        <v>0.22176274594260476</v>
      </c>
      <c r="H12">
        <f t="shared" si="1"/>
        <v>5.89144137090628E-2</v>
      </c>
      <c r="I12">
        <f t="shared" si="2"/>
        <v>1.7170601293400867E-5</v>
      </c>
      <c r="K12">
        <f t="shared" si="3"/>
        <v>0.2215632492582304</v>
      </c>
      <c r="L12">
        <v>0.81299999999999994</v>
      </c>
      <c r="M12">
        <v>2.3997903363253644E-3</v>
      </c>
    </row>
    <row r="13" spans="1:13" x14ac:dyDescent="0.35">
      <c r="A13">
        <v>1.1000000000000001</v>
      </c>
      <c r="B13">
        <v>0.26065162907268102</v>
      </c>
      <c r="C13">
        <v>5.3884711779448403E-2</v>
      </c>
      <c r="D13">
        <v>0.20676691729323299</v>
      </c>
      <c r="E13">
        <v>0.185463659147869</v>
      </c>
      <c r="F13">
        <v>8.02005012531328E-2</v>
      </c>
      <c r="G13">
        <f t="shared" si="0"/>
        <v>0.21313515710223091</v>
      </c>
      <c r="H13">
        <f t="shared" si="1"/>
        <v>5.5554025911358287E-2</v>
      </c>
      <c r="I13">
        <f t="shared" si="2"/>
        <v>1.6693141319098839E-3</v>
      </c>
      <c r="K13">
        <f t="shared" si="3"/>
        <v>0.21293406778931209</v>
      </c>
      <c r="L13">
        <v>0.81399999999999995</v>
      </c>
      <c r="M13">
        <v>2.4037447000437198E-3</v>
      </c>
    </row>
    <row r="14" spans="1:13" x14ac:dyDescent="0.35">
      <c r="A14">
        <v>1.2</v>
      </c>
      <c r="B14">
        <v>0.26065162907268102</v>
      </c>
      <c r="C14">
        <v>5.3884711779448403E-2</v>
      </c>
      <c r="D14">
        <v>0.20676691729323299</v>
      </c>
      <c r="E14">
        <v>0.185463659147869</v>
      </c>
      <c r="F14">
        <v>7.5187969924811998E-2</v>
      </c>
      <c r="G14">
        <f t="shared" si="0"/>
        <v>0.20520535714879901</v>
      </c>
      <c r="H14">
        <f t="shared" si="1"/>
        <v>5.3487110635275795E-2</v>
      </c>
      <c r="I14">
        <f t="shared" si="2"/>
        <v>3.9760114417260878E-4</v>
      </c>
      <c r="K14">
        <f t="shared" si="3"/>
        <v>0.20500314476037973</v>
      </c>
    </row>
    <row r="15" spans="1:13" x14ac:dyDescent="0.35">
      <c r="A15">
        <v>1.3</v>
      </c>
      <c r="B15">
        <v>0.25563909774436</v>
      </c>
      <c r="C15">
        <v>4.8872180451127699E-2</v>
      </c>
      <c r="D15">
        <v>0.20676691729323299</v>
      </c>
      <c r="E15">
        <v>0.175438596491228</v>
      </c>
      <c r="F15">
        <v>7.5187969924811998E-2</v>
      </c>
      <c r="G15">
        <f t="shared" si="0"/>
        <v>0.19787697076871455</v>
      </c>
      <c r="H15">
        <f t="shared" si="1"/>
        <v>5.0585090271701286E-2</v>
      </c>
      <c r="I15">
        <f t="shared" si="2"/>
        <v>1.7129098205735868E-3</v>
      </c>
      <c r="K15">
        <f t="shared" si="3"/>
        <v>0.19767402190197578</v>
      </c>
    </row>
    <row r="16" spans="1:13" x14ac:dyDescent="0.35">
      <c r="A16">
        <v>1.4</v>
      </c>
      <c r="B16">
        <v>0.25563909774436</v>
      </c>
      <c r="C16">
        <v>4.8872180451127699E-2</v>
      </c>
      <c r="D16">
        <v>0.20676691729323299</v>
      </c>
      <c r="E16">
        <v>0.175438596491228</v>
      </c>
      <c r="F16">
        <v>7.0175438596491196E-2</v>
      </c>
      <c r="G16">
        <f t="shared" si="0"/>
        <v>0.19107261244895696</v>
      </c>
      <c r="H16">
        <f t="shared" si="1"/>
        <v>4.8845630250109122E-2</v>
      </c>
      <c r="I16">
        <f t="shared" si="2"/>
        <v>2.6550201018576969E-5</v>
      </c>
      <c r="K16">
        <f t="shared" si="3"/>
        <v>0.19086924860115179</v>
      </c>
    </row>
    <row r="17" spans="1:11" x14ac:dyDescent="0.35">
      <c r="A17">
        <v>1.5</v>
      </c>
      <c r="B17">
        <v>0.25062656641603998</v>
      </c>
      <c r="C17">
        <v>4.3859649122806897E-2</v>
      </c>
      <c r="D17">
        <v>0.20676691729323299</v>
      </c>
      <c r="E17">
        <v>0.16541353383458601</v>
      </c>
      <c r="F17">
        <v>7.0175438596491196E-2</v>
      </c>
      <c r="G17">
        <f t="shared" si="0"/>
        <v>0.18472911669904357</v>
      </c>
      <c r="H17">
        <f t="shared" si="1"/>
        <v>4.629802423534924E-2</v>
      </c>
      <c r="I17">
        <f t="shared" si="2"/>
        <v>2.4383751125423431E-3</v>
      </c>
      <c r="K17">
        <f t="shared" si="3"/>
        <v>0.18452560744631347</v>
      </c>
    </row>
    <row r="18" spans="1:11" x14ac:dyDescent="0.35">
      <c r="A18">
        <v>1.6</v>
      </c>
      <c r="B18">
        <v>0.25062656641603998</v>
      </c>
      <c r="C18">
        <v>4.3859649122806897E-2</v>
      </c>
      <c r="D18">
        <v>0.20676691729323299</v>
      </c>
      <c r="E18">
        <v>0.16541353383458601</v>
      </c>
      <c r="F18">
        <v>6.5162907268170395E-2</v>
      </c>
      <c r="G18">
        <f t="shared" si="0"/>
        <v>0.17879419635276056</v>
      </c>
      <c r="H18">
        <f t="shared" si="1"/>
        <v>4.4810575527007637E-2</v>
      </c>
      <c r="I18">
        <f t="shared" si="2"/>
        <v>9.5092640420074009E-4</v>
      </c>
      <c r="K18">
        <f t="shared" si="3"/>
        <v>0.17859076928600515</v>
      </c>
    </row>
    <row r="19" spans="1:11" x14ac:dyDescent="0.35">
      <c r="A19">
        <v>1.7</v>
      </c>
      <c r="B19">
        <v>0.25062656641603998</v>
      </c>
      <c r="C19">
        <v>4.3859649122806897E-2</v>
      </c>
      <c r="D19">
        <v>0.20676691729323299</v>
      </c>
      <c r="E19">
        <v>0.15538847117794399</v>
      </c>
      <c r="F19">
        <v>6.5162907268170395E-2</v>
      </c>
      <c r="G19">
        <f t="shared" si="0"/>
        <v>0.17322404030546232</v>
      </c>
      <c r="H19">
        <f t="shared" si="1"/>
        <v>4.3414546442471738E-2</v>
      </c>
      <c r="I19">
        <f t="shared" si="2"/>
        <v>4.4510268033515904E-4</v>
      </c>
      <c r="K19">
        <f t="shared" si="3"/>
        <v>0.17302088865914136</v>
      </c>
    </row>
    <row r="20" spans="1:11" x14ac:dyDescent="0.35">
      <c r="A20">
        <v>1.8</v>
      </c>
      <c r="B20">
        <v>0.24561403508771901</v>
      </c>
      <c r="C20">
        <v>3.88471177944862E-2</v>
      </c>
      <c r="D20">
        <v>0.20676691729323299</v>
      </c>
      <c r="E20">
        <v>0.15538847117794399</v>
      </c>
      <c r="F20">
        <v>6.01503759398496E-2</v>
      </c>
      <c r="G20">
        <f t="shared" si="0"/>
        <v>0.1679815478252977</v>
      </c>
      <c r="H20">
        <f t="shared" si="1"/>
        <v>4.1258625781652021E-2</v>
      </c>
      <c r="I20">
        <f t="shared" si="2"/>
        <v>2.4115079871658215E-3</v>
      </c>
      <c r="K20">
        <f t="shared" si="3"/>
        <v>0.16777883642822466</v>
      </c>
    </row>
    <row r="21" spans="1:11" x14ac:dyDescent="0.35">
      <c r="A21">
        <v>1.9</v>
      </c>
      <c r="B21">
        <v>0.24561403508771901</v>
      </c>
      <c r="C21">
        <v>3.88471177944862E-2</v>
      </c>
      <c r="D21">
        <v>0.20676691729323299</v>
      </c>
      <c r="E21">
        <v>0.15538847117794399</v>
      </c>
      <c r="F21">
        <v>6.01503759398496E-2</v>
      </c>
      <c r="G21">
        <f t="shared" si="0"/>
        <v>0.16303500541178337</v>
      </c>
      <c r="H21">
        <f t="shared" si="1"/>
        <v>4.0043685539736217E-2</v>
      </c>
      <c r="I21">
        <f t="shared" si="2"/>
        <v>1.196567745250017E-3</v>
      </c>
      <c r="K21">
        <f t="shared" si="3"/>
        <v>0.16283287539369717</v>
      </c>
    </row>
    <row r="22" spans="1:11" x14ac:dyDescent="0.35">
      <c r="A22">
        <v>2</v>
      </c>
      <c r="B22">
        <v>0.24561403508771901</v>
      </c>
      <c r="C22">
        <v>3.88471177944862E-2</v>
      </c>
      <c r="D22">
        <v>0.20676691729323299</v>
      </c>
      <c r="E22">
        <v>0.145363408521303</v>
      </c>
      <c r="F22">
        <v>6.01503759398496E-2</v>
      </c>
      <c r="G22">
        <f t="shared" si="0"/>
        <v>0.15835707828098378</v>
      </c>
      <c r="H22">
        <f t="shared" si="1"/>
        <v>3.8894720981294213E-2</v>
      </c>
      <c r="I22">
        <f t="shared" si="2"/>
        <v>4.7603186808013731E-5</v>
      </c>
      <c r="K22">
        <f t="shared" si="3"/>
        <v>0.15815565084079197</v>
      </c>
    </row>
    <row r="23" spans="1:11" x14ac:dyDescent="0.35">
      <c r="I23">
        <f>AVERAGE(I2:I22)</f>
        <v>2.3997903363253644E-3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A70D-B802-4B32-BFF4-6E483AA26D29}">
  <dimension ref="A1:J8"/>
  <sheetViews>
    <sheetView tabSelected="1" topLeftCell="D1" workbookViewId="0">
      <selection activeCell="J7" sqref="J7"/>
    </sheetView>
  </sheetViews>
  <sheetFormatPr defaultRowHeight="14.5" x14ac:dyDescent="0.35"/>
  <cols>
    <col min="10" max="10" width="11.7265625" bestFit="1" customWidth="1"/>
  </cols>
  <sheetData>
    <row r="1" spans="1:10" x14ac:dyDescent="0.35">
      <c r="A1" t="s">
        <v>7</v>
      </c>
      <c r="B1" t="s">
        <v>8</v>
      </c>
      <c r="D1" t="s">
        <v>6</v>
      </c>
      <c r="H1" t="s">
        <v>6</v>
      </c>
      <c r="I1" t="s">
        <v>9</v>
      </c>
      <c r="J1" t="s">
        <v>10</v>
      </c>
    </row>
    <row r="2" spans="1:10" x14ac:dyDescent="0.35">
      <c r="A2">
        <v>300</v>
      </c>
      <c r="B2">
        <f>'300W'!J2</f>
        <v>0.61352441800000002</v>
      </c>
      <c r="D2">
        <v>200</v>
      </c>
      <c r="E2">
        <f>0.001*D2+0.3139</f>
        <v>0.51390000000000002</v>
      </c>
      <c r="H2">
        <v>250</v>
      </c>
      <c r="I2">
        <v>0.4</v>
      </c>
      <c r="J2">
        <f>0.5*EXP(-(0.001*H2+0.3139)*SQRT(I2))</f>
        <v>0.35001164449243161</v>
      </c>
    </row>
    <row r="3" spans="1:10" x14ac:dyDescent="0.35">
      <c r="A3">
        <v>400</v>
      </c>
      <c r="B3">
        <f>'400W'!J2</f>
        <v>0.71199999999999997</v>
      </c>
      <c r="D3">
        <v>250</v>
      </c>
      <c r="E3">
        <f t="shared" ref="E3:E8" si="0">0.001*D3+0.3139</f>
        <v>0.56390000000000007</v>
      </c>
      <c r="H3">
        <v>450</v>
      </c>
      <c r="I3">
        <v>1.8</v>
      </c>
      <c r="J3">
        <f>0.5*EXP(-(0.001*H3+0.3139)*SQRT(I3))</f>
        <v>0.1794198700073506</v>
      </c>
    </row>
    <row r="4" spans="1:10" x14ac:dyDescent="0.35">
      <c r="A4">
        <v>500</v>
      </c>
      <c r="B4">
        <f>'500W'!J2</f>
        <v>0.81299999999999994</v>
      </c>
      <c r="D4">
        <v>300</v>
      </c>
      <c r="E4">
        <f t="shared" si="0"/>
        <v>0.6139</v>
      </c>
    </row>
    <row r="5" spans="1:10" x14ac:dyDescent="0.35">
      <c r="D5">
        <v>350</v>
      </c>
      <c r="E5">
        <f t="shared" si="0"/>
        <v>0.66390000000000005</v>
      </c>
    </row>
    <row r="6" spans="1:10" x14ac:dyDescent="0.35">
      <c r="D6">
        <v>400</v>
      </c>
      <c r="E6">
        <f t="shared" si="0"/>
        <v>0.71389999999999998</v>
      </c>
    </row>
    <row r="7" spans="1:10" x14ac:dyDescent="0.35">
      <c r="D7">
        <v>450</v>
      </c>
      <c r="E7">
        <f t="shared" si="0"/>
        <v>0.76390000000000002</v>
      </c>
    </row>
    <row r="8" spans="1:10" x14ac:dyDescent="0.35">
      <c r="D8">
        <v>500</v>
      </c>
      <c r="E8">
        <f t="shared" si="0"/>
        <v>0.81390000000000007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250W</vt:lpstr>
      <vt:lpstr>300W</vt:lpstr>
      <vt:lpstr>400W</vt:lpstr>
      <vt:lpstr>500W</vt:lpstr>
      <vt:lpstr>combined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Lambert-Garcia, Ruben (UCL,RAL,RCAH)</cp:lastModifiedBy>
  <dcterms:created xsi:type="dcterms:W3CDTF">2026-07-11T15:29:20Z</dcterms:created>
  <dcterms:modified xsi:type="dcterms:W3CDTF">2026-07-17T15:16:31Z</dcterms:modified>
</cp:coreProperties>
</file>